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0.0%"/>
    <numFmt numFmtId="166" formatCode="0.0000"/>
    <numFmt numFmtId="167" formatCode="€#,##0.0"/>
  </numFmts>
  <fonts count="11">
    <font>
      <name val="Calibri"/>
      <family val="2"/>
      <color theme="1"/>
      <sz val="11"/>
      <scheme val="minor"/>
    </font>
    <font>
      <name val="Calibri"/>
      <b val="1"/>
      <color rgb="00191B4D"/>
      <sz val="18"/>
    </font>
    <font>
      <color rgb="005F5870"/>
      <sz val="10"/>
    </font>
    <font>
      <b val="1"/>
      <color rgb="00FFFFFF"/>
      <sz val="11"/>
    </font>
    <font>
      <color rgb="00221A33"/>
      <sz val="11"/>
    </font>
    <font>
      <b val="1"/>
      <color rgb="00621558"/>
      <sz val="11"/>
    </font>
    <font>
      <i val="1"/>
      <color rgb="005F5870"/>
      <sz val="10"/>
    </font>
    <font>
      <b val="1"/>
      <color rgb="005F5870"/>
    </font>
    <font>
      <b val="1"/>
      <color rgb="00191B4D"/>
      <sz val="11"/>
    </font>
    <font>
      <b val="1"/>
      <color rgb="00191B4D"/>
      <sz val="13"/>
    </font>
    <font>
      <i val="1"/>
      <color rgb="005F5870"/>
      <sz val="9"/>
    </font>
  </fonts>
  <fills count="5">
    <fill>
      <patternFill/>
    </fill>
    <fill>
      <patternFill patternType="gray125"/>
    </fill>
    <fill>
      <patternFill patternType="solid">
        <fgColor rgb="00621558"/>
      </patternFill>
    </fill>
    <fill>
      <patternFill patternType="solid">
        <fgColor rgb="00F1E9F4"/>
      </patternFill>
    </fill>
    <fill>
      <patternFill patternType="solid">
        <fgColor rgb="00ECE7F3"/>
      </patternFill>
    </fill>
  </fills>
  <borders count="2">
    <border>
      <left/>
      <right/>
      <top/>
      <bottom/>
      <diagonal/>
    </border>
    <border>
      <left style="thin">
        <color rgb="00E4DEF1"/>
      </left>
      <right style="thin">
        <color rgb="00E4DEF1"/>
      </right>
      <top style="thin">
        <color rgb="00E4DEF1"/>
      </top>
      <bottom style="thin">
        <color rgb="00E4DEF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167" fontId="9" fillId="4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49" fontId="8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10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LCOE Builder</t>
        </is>
      </c>
    </row>
    <row r="2">
      <c r="A2" s="2" t="inlineStr">
        <is>
          <t>Levelised cost of energy per kWp of solar  ·  Newman Energy Academy</t>
        </is>
      </c>
    </row>
    <row r="4">
      <c r="A4" s="3" t="inlineStr">
        <is>
          <t>Inputs</t>
        </is>
      </c>
      <c r="B4" s="4" t="n"/>
      <c r="C4" s="4" t="n"/>
      <c r="E4" s="5" t="inlineStr">
        <is>
          <t>Results</t>
        </is>
      </c>
      <c r="F4" s="4" t="n"/>
      <c r="G4" s="4" t="n"/>
    </row>
    <row r="5">
      <c r="A5" s="6" t="inlineStr">
        <is>
          <t>Capex</t>
        </is>
      </c>
      <c r="B5" s="7" t="n">
        <v>600</v>
      </c>
      <c r="C5" s="8" t="inlineStr">
        <is>
          <t>EUR / kWp</t>
        </is>
      </c>
      <c r="E5" s="9" t="inlineStr">
        <is>
          <t>LCOE</t>
        </is>
      </c>
      <c r="F5" s="10">
        <f>($B5+SUM(D13:D52))/SUM(C13:C52)*1000</f>
        <v/>
      </c>
      <c r="G5" s="8" t="inlineStr">
        <is>
          <t>EUR / MWh</t>
        </is>
      </c>
    </row>
    <row r="6">
      <c r="A6" s="6" t="inlineStr">
        <is>
          <t>Opex / year</t>
        </is>
      </c>
      <c r="B6" s="7" t="n">
        <v>12</v>
      </c>
      <c r="C6" s="8" t="inlineStr">
        <is>
          <t>EUR / kWp / yr</t>
        </is>
      </c>
      <c r="E6" s="6" t="inlineStr">
        <is>
          <t>Margin vs grid</t>
        </is>
      </c>
      <c r="F6" s="11">
        <f>$B10-F5</f>
        <v/>
      </c>
      <c r="G6" s="8" t="inlineStr">
        <is>
          <t>EUR / MWh</t>
        </is>
      </c>
    </row>
    <row r="7">
      <c r="A7" s="6" t="inlineStr">
        <is>
          <t>Specific yield</t>
        </is>
      </c>
      <c r="B7" s="12" t="n">
        <v>1050</v>
      </c>
      <c r="C7" s="8" t="inlineStr">
        <is>
          <t>kWh / kWp / yr</t>
        </is>
      </c>
      <c r="E7" s="6" t="inlineStr">
        <is>
          <t>Discount to grid</t>
        </is>
      </c>
      <c r="F7" s="13">
        <f>IF($B10=0,0,($B10-F5)/$B10)</f>
        <v/>
      </c>
    </row>
    <row r="8">
      <c r="A8" s="6" t="inlineStr">
        <is>
          <t>Asset life</t>
        </is>
      </c>
      <c r="B8" s="14" t="n">
        <v>25</v>
      </c>
      <c r="C8" s="8" t="inlineStr">
        <is>
          <t>years</t>
        </is>
      </c>
      <c r="E8" s="6" t="inlineStr">
        <is>
          <t>Verdict</t>
        </is>
      </c>
      <c r="F8" s="15">
        <f>IF(F6&gt;0,"Below grid - sellable","Above grid - no case")</f>
        <v/>
      </c>
    </row>
    <row r="9">
      <c r="A9" s="6" t="inlineStr">
        <is>
          <t>Discount rate</t>
        </is>
      </c>
      <c r="B9" s="16" t="n">
        <v>0.07000000000000001</v>
      </c>
    </row>
    <row r="10">
      <c r="A10" s="6" t="inlineStr">
        <is>
          <t>Grid tariff to beat</t>
        </is>
      </c>
      <c r="B10" s="7" t="n">
        <v>120</v>
      </c>
      <c r="C10" s="8" t="inlineStr">
        <is>
          <t>EUR / MWh</t>
        </is>
      </c>
    </row>
    <row r="11">
      <c r="E11" s="17" t="inlineStr">
        <is>
          <t>Live formulas — change any blue input.</t>
        </is>
      </c>
    </row>
    <row r="12">
      <c r="A12" s="18" t="inlineStr">
        <is>
          <t>Year</t>
        </is>
      </c>
      <c r="B12" s="18" t="inlineStr">
        <is>
          <t>Disc. factor</t>
        </is>
      </c>
      <c r="C12" s="18" t="inlineStr">
        <is>
          <t>Disc. energy</t>
        </is>
      </c>
      <c r="D12" s="18" t="inlineStr">
        <is>
          <t>Disc. opex</t>
        </is>
      </c>
    </row>
    <row r="13">
      <c r="A13">
        <f>IF(1&lt;=$B8,1,"")</f>
        <v/>
      </c>
      <c r="B13" s="19">
        <f>IF(1&lt;=$B8,1/(1+$B9)^1,0)</f>
        <v/>
      </c>
      <c r="C13" s="20">
        <f>IF(1&lt;=$B8,$B7*B13,0)</f>
        <v/>
      </c>
      <c r="D13" s="20">
        <f>IF(1&lt;=$B8,$B6*B13,0)</f>
        <v/>
      </c>
    </row>
    <row r="14">
      <c r="A14">
        <f>IF(2&lt;=$B8,2,"")</f>
        <v/>
      </c>
      <c r="B14" s="19">
        <f>IF(2&lt;=$B8,1/(1+$B9)^2,0)</f>
        <v/>
      </c>
      <c r="C14" s="20">
        <f>IF(2&lt;=$B8,$B7*B14,0)</f>
        <v/>
      </c>
      <c r="D14" s="20">
        <f>IF(2&lt;=$B8,$B6*B14,0)</f>
        <v/>
      </c>
    </row>
    <row r="15">
      <c r="A15">
        <f>IF(3&lt;=$B8,3,"")</f>
        <v/>
      </c>
      <c r="B15" s="19">
        <f>IF(3&lt;=$B8,1/(1+$B9)^3,0)</f>
        <v/>
      </c>
      <c r="C15" s="20">
        <f>IF(3&lt;=$B8,$B7*B15,0)</f>
        <v/>
      </c>
      <c r="D15" s="20">
        <f>IF(3&lt;=$B8,$B6*B15,0)</f>
        <v/>
      </c>
    </row>
    <row r="16">
      <c r="A16">
        <f>IF(4&lt;=$B8,4,"")</f>
        <v/>
      </c>
      <c r="B16" s="19">
        <f>IF(4&lt;=$B8,1/(1+$B9)^4,0)</f>
        <v/>
      </c>
      <c r="C16" s="20">
        <f>IF(4&lt;=$B8,$B7*B16,0)</f>
        <v/>
      </c>
      <c r="D16" s="20">
        <f>IF(4&lt;=$B8,$B6*B16,0)</f>
        <v/>
      </c>
    </row>
    <row r="17">
      <c r="A17">
        <f>IF(5&lt;=$B8,5,"")</f>
        <v/>
      </c>
      <c r="B17" s="19">
        <f>IF(5&lt;=$B8,1/(1+$B9)^5,0)</f>
        <v/>
      </c>
      <c r="C17" s="20">
        <f>IF(5&lt;=$B8,$B7*B17,0)</f>
        <v/>
      </c>
      <c r="D17" s="20">
        <f>IF(5&lt;=$B8,$B6*B17,0)</f>
        <v/>
      </c>
    </row>
    <row r="18">
      <c r="A18">
        <f>IF(6&lt;=$B8,6,"")</f>
        <v/>
      </c>
      <c r="B18" s="19">
        <f>IF(6&lt;=$B8,1/(1+$B9)^6,0)</f>
        <v/>
      </c>
      <c r="C18" s="20">
        <f>IF(6&lt;=$B8,$B7*B18,0)</f>
        <v/>
      </c>
      <c r="D18" s="20">
        <f>IF(6&lt;=$B8,$B6*B18,0)</f>
        <v/>
      </c>
    </row>
    <row r="19">
      <c r="A19">
        <f>IF(7&lt;=$B8,7,"")</f>
        <v/>
      </c>
      <c r="B19" s="19">
        <f>IF(7&lt;=$B8,1/(1+$B9)^7,0)</f>
        <v/>
      </c>
      <c r="C19" s="20">
        <f>IF(7&lt;=$B8,$B7*B19,0)</f>
        <v/>
      </c>
      <c r="D19" s="20">
        <f>IF(7&lt;=$B8,$B6*B19,0)</f>
        <v/>
      </c>
    </row>
    <row r="20">
      <c r="A20">
        <f>IF(8&lt;=$B8,8,"")</f>
        <v/>
      </c>
      <c r="B20" s="19">
        <f>IF(8&lt;=$B8,1/(1+$B9)^8,0)</f>
        <v/>
      </c>
      <c r="C20" s="20">
        <f>IF(8&lt;=$B8,$B7*B20,0)</f>
        <v/>
      </c>
      <c r="D20" s="20">
        <f>IF(8&lt;=$B8,$B6*B20,0)</f>
        <v/>
      </c>
    </row>
    <row r="21">
      <c r="A21">
        <f>IF(9&lt;=$B8,9,"")</f>
        <v/>
      </c>
      <c r="B21" s="19">
        <f>IF(9&lt;=$B8,1/(1+$B9)^9,0)</f>
        <v/>
      </c>
      <c r="C21" s="20">
        <f>IF(9&lt;=$B8,$B7*B21,0)</f>
        <v/>
      </c>
      <c r="D21" s="20">
        <f>IF(9&lt;=$B8,$B6*B21,0)</f>
        <v/>
      </c>
    </row>
    <row r="22">
      <c r="A22">
        <f>IF(10&lt;=$B8,10,"")</f>
        <v/>
      </c>
      <c r="B22" s="19">
        <f>IF(10&lt;=$B8,1/(1+$B9)^10,0)</f>
        <v/>
      </c>
      <c r="C22" s="20">
        <f>IF(10&lt;=$B8,$B7*B22,0)</f>
        <v/>
      </c>
      <c r="D22" s="20">
        <f>IF(10&lt;=$B8,$B6*B22,0)</f>
        <v/>
      </c>
    </row>
    <row r="23">
      <c r="A23">
        <f>IF(11&lt;=$B8,11,"")</f>
        <v/>
      </c>
      <c r="B23" s="19">
        <f>IF(11&lt;=$B8,1/(1+$B9)^11,0)</f>
        <v/>
      </c>
      <c r="C23" s="20">
        <f>IF(11&lt;=$B8,$B7*B23,0)</f>
        <v/>
      </c>
      <c r="D23" s="20">
        <f>IF(11&lt;=$B8,$B6*B23,0)</f>
        <v/>
      </c>
    </row>
    <row r="24">
      <c r="A24">
        <f>IF(12&lt;=$B8,12,"")</f>
        <v/>
      </c>
      <c r="B24" s="19">
        <f>IF(12&lt;=$B8,1/(1+$B9)^12,0)</f>
        <v/>
      </c>
      <c r="C24" s="20">
        <f>IF(12&lt;=$B8,$B7*B24,0)</f>
        <v/>
      </c>
      <c r="D24" s="20">
        <f>IF(12&lt;=$B8,$B6*B24,0)</f>
        <v/>
      </c>
    </row>
    <row r="25">
      <c r="A25">
        <f>IF(13&lt;=$B8,13,"")</f>
        <v/>
      </c>
      <c r="B25" s="19">
        <f>IF(13&lt;=$B8,1/(1+$B9)^13,0)</f>
        <v/>
      </c>
      <c r="C25" s="20">
        <f>IF(13&lt;=$B8,$B7*B25,0)</f>
        <v/>
      </c>
      <c r="D25" s="20">
        <f>IF(13&lt;=$B8,$B6*B25,0)</f>
        <v/>
      </c>
    </row>
    <row r="26">
      <c r="A26">
        <f>IF(14&lt;=$B8,14,"")</f>
        <v/>
      </c>
      <c r="B26" s="19">
        <f>IF(14&lt;=$B8,1/(1+$B9)^14,0)</f>
        <v/>
      </c>
      <c r="C26" s="20">
        <f>IF(14&lt;=$B8,$B7*B26,0)</f>
        <v/>
      </c>
      <c r="D26" s="20">
        <f>IF(14&lt;=$B8,$B6*B26,0)</f>
        <v/>
      </c>
    </row>
    <row r="27">
      <c r="A27">
        <f>IF(15&lt;=$B8,15,"")</f>
        <v/>
      </c>
      <c r="B27" s="19">
        <f>IF(15&lt;=$B8,1/(1+$B9)^15,0)</f>
        <v/>
      </c>
      <c r="C27" s="20">
        <f>IF(15&lt;=$B8,$B7*B27,0)</f>
        <v/>
      </c>
      <c r="D27" s="20">
        <f>IF(15&lt;=$B8,$B6*B27,0)</f>
        <v/>
      </c>
    </row>
    <row r="28">
      <c r="A28">
        <f>IF(16&lt;=$B8,16,"")</f>
        <v/>
      </c>
      <c r="B28" s="19">
        <f>IF(16&lt;=$B8,1/(1+$B9)^16,0)</f>
        <v/>
      </c>
      <c r="C28" s="20">
        <f>IF(16&lt;=$B8,$B7*B28,0)</f>
        <v/>
      </c>
      <c r="D28" s="20">
        <f>IF(16&lt;=$B8,$B6*B28,0)</f>
        <v/>
      </c>
    </row>
    <row r="29">
      <c r="A29">
        <f>IF(17&lt;=$B8,17,"")</f>
        <v/>
      </c>
      <c r="B29" s="19">
        <f>IF(17&lt;=$B8,1/(1+$B9)^17,0)</f>
        <v/>
      </c>
      <c r="C29" s="20">
        <f>IF(17&lt;=$B8,$B7*B29,0)</f>
        <v/>
      </c>
      <c r="D29" s="20">
        <f>IF(17&lt;=$B8,$B6*B29,0)</f>
        <v/>
      </c>
    </row>
    <row r="30">
      <c r="A30">
        <f>IF(18&lt;=$B8,18,"")</f>
        <v/>
      </c>
      <c r="B30" s="19">
        <f>IF(18&lt;=$B8,1/(1+$B9)^18,0)</f>
        <v/>
      </c>
      <c r="C30" s="20">
        <f>IF(18&lt;=$B8,$B7*B30,0)</f>
        <v/>
      </c>
      <c r="D30" s="20">
        <f>IF(18&lt;=$B8,$B6*B30,0)</f>
        <v/>
      </c>
    </row>
    <row r="31">
      <c r="A31">
        <f>IF(19&lt;=$B8,19,"")</f>
        <v/>
      </c>
      <c r="B31" s="19">
        <f>IF(19&lt;=$B8,1/(1+$B9)^19,0)</f>
        <v/>
      </c>
      <c r="C31" s="20">
        <f>IF(19&lt;=$B8,$B7*B31,0)</f>
        <v/>
      </c>
      <c r="D31" s="20">
        <f>IF(19&lt;=$B8,$B6*B31,0)</f>
        <v/>
      </c>
    </row>
    <row r="32">
      <c r="A32">
        <f>IF(20&lt;=$B8,20,"")</f>
        <v/>
      </c>
      <c r="B32" s="19">
        <f>IF(20&lt;=$B8,1/(1+$B9)^20,0)</f>
        <v/>
      </c>
      <c r="C32" s="20">
        <f>IF(20&lt;=$B8,$B7*B32,0)</f>
        <v/>
      </c>
      <c r="D32" s="20">
        <f>IF(20&lt;=$B8,$B6*B32,0)</f>
        <v/>
      </c>
    </row>
    <row r="33">
      <c r="A33">
        <f>IF(21&lt;=$B8,21,"")</f>
        <v/>
      </c>
      <c r="B33" s="19">
        <f>IF(21&lt;=$B8,1/(1+$B9)^21,0)</f>
        <v/>
      </c>
      <c r="C33" s="20">
        <f>IF(21&lt;=$B8,$B7*B33,0)</f>
        <v/>
      </c>
      <c r="D33" s="20">
        <f>IF(21&lt;=$B8,$B6*B33,0)</f>
        <v/>
      </c>
    </row>
    <row r="34">
      <c r="A34">
        <f>IF(22&lt;=$B8,22,"")</f>
        <v/>
      </c>
      <c r="B34" s="19">
        <f>IF(22&lt;=$B8,1/(1+$B9)^22,0)</f>
        <v/>
      </c>
      <c r="C34" s="20">
        <f>IF(22&lt;=$B8,$B7*B34,0)</f>
        <v/>
      </c>
      <c r="D34" s="20">
        <f>IF(22&lt;=$B8,$B6*B34,0)</f>
        <v/>
      </c>
    </row>
    <row r="35">
      <c r="A35">
        <f>IF(23&lt;=$B8,23,"")</f>
        <v/>
      </c>
      <c r="B35" s="19">
        <f>IF(23&lt;=$B8,1/(1+$B9)^23,0)</f>
        <v/>
      </c>
      <c r="C35" s="20">
        <f>IF(23&lt;=$B8,$B7*B35,0)</f>
        <v/>
      </c>
      <c r="D35" s="20">
        <f>IF(23&lt;=$B8,$B6*B35,0)</f>
        <v/>
      </c>
    </row>
    <row r="36">
      <c r="A36">
        <f>IF(24&lt;=$B8,24,"")</f>
        <v/>
      </c>
      <c r="B36" s="19">
        <f>IF(24&lt;=$B8,1/(1+$B9)^24,0)</f>
        <v/>
      </c>
      <c r="C36" s="20">
        <f>IF(24&lt;=$B8,$B7*B36,0)</f>
        <v/>
      </c>
      <c r="D36" s="20">
        <f>IF(24&lt;=$B8,$B6*B36,0)</f>
        <v/>
      </c>
    </row>
    <row r="37">
      <c r="A37">
        <f>IF(25&lt;=$B8,25,"")</f>
        <v/>
      </c>
      <c r="B37" s="19">
        <f>IF(25&lt;=$B8,1/(1+$B9)^25,0)</f>
        <v/>
      </c>
      <c r="C37" s="20">
        <f>IF(25&lt;=$B8,$B7*B37,0)</f>
        <v/>
      </c>
      <c r="D37" s="20">
        <f>IF(25&lt;=$B8,$B6*B37,0)</f>
        <v/>
      </c>
    </row>
    <row r="38">
      <c r="A38">
        <f>IF(26&lt;=$B8,26,"")</f>
        <v/>
      </c>
      <c r="B38" s="19">
        <f>IF(26&lt;=$B8,1/(1+$B9)^26,0)</f>
        <v/>
      </c>
      <c r="C38" s="20">
        <f>IF(26&lt;=$B8,$B7*B38,0)</f>
        <v/>
      </c>
      <c r="D38" s="20">
        <f>IF(26&lt;=$B8,$B6*B38,0)</f>
        <v/>
      </c>
    </row>
    <row r="39">
      <c r="A39">
        <f>IF(27&lt;=$B8,27,"")</f>
        <v/>
      </c>
      <c r="B39" s="19">
        <f>IF(27&lt;=$B8,1/(1+$B9)^27,0)</f>
        <v/>
      </c>
      <c r="C39" s="20">
        <f>IF(27&lt;=$B8,$B7*B39,0)</f>
        <v/>
      </c>
      <c r="D39" s="20">
        <f>IF(27&lt;=$B8,$B6*B39,0)</f>
        <v/>
      </c>
    </row>
    <row r="40">
      <c r="A40">
        <f>IF(28&lt;=$B8,28,"")</f>
        <v/>
      </c>
      <c r="B40" s="19">
        <f>IF(28&lt;=$B8,1/(1+$B9)^28,0)</f>
        <v/>
      </c>
      <c r="C40" s="20">
        <f>IF(28&lt;=$B8,$B7*B40,0)</f>
        <v/>
      </c>
      <c r="D40" s="20">
        <f>IF(28&lt;=$B8,$B6*B40,0)</f>
        <v/>
      </c>
    </row>
    <row r="41">
      <c r="A41">
        <f>IF(29&lt;=$B8,29,"")</f>
        <v/>
      </c>
      <c r="B41" s="19">
        <f>IF(29&lt;=$B8,1/(1+$B9)^29,0)</f>
        <v/>
      </c>
      <c r="C41" s="20">
        <f>IF(29&lt;=$B8,$B7*B41,0)</f>
        <v/>
      </c>
      <c r="D41" s="20">
        <f>IF(29&lt;=$B8,$B6*B41,0)</f>
        <v/>
      </c>
    </row>
    <row r="42">
      <c r="A42">
        <f>IF(30&lt;=$B8,30,"")</f>
        <v/>
      </c>
      <c r="B42" s="19">
        <f>IF(30&lt;=$B8,1/(1+$B9)^30,0)</f>
        <v/>
      </c>
      <c r="C42" s="20">
        <f>IF(30&lt;=$B8,$B7*B42,0)</f>
        <v/>
      </c>
      <c r="D42" s="20">
        <f>IF(30&lt;=$B8,$B6*B42,0)</f>
        <v/>
      </c>
    </row>
    <row r="43">
      <c r="A43">
        <f>IF(31&lt;=$B8,31,"")</f>
        <v/>
      </c>
      <c r="B43" s="19">
        <f>IF(31&lt;=$B8,1/(1+$B9)^31,0)</f>
        <v/>
      </c>
      <c r="C43" s="20">
        <f>IF(31&lt;=$B8,$B7*B43,0)</f>
        <v/>
      </c>
      <c r="D43" s="20">
        <f>IF(31&lt;=$B8,$B6*B43,0)</f>
        <v/>
      </c>
    </row>
    <row r="44">
      <c r="A44">
        <f>IF(32&lt;=$B8,32,"")</f>
        <v/>
      </c>
      <c r="B44" s="19">
        <f>IF(32&lt;=$B8,1/(1+$B9)^32,0)</f>
        <v/>
      </c>
      <c r="C44" s="20">
        <f>IF(32&lt;=$B8,$B7*B44,0)</f>
        <v/>
      </c>
      <c r="D44" s="20">
        <f>IF(32&lt;=$B8,$B6*B44,0)</f>
        <v/>
      </c>
    </row>
    <row r="45">
      <c r="A45">
        <f>IF(33&lt;=$B8,33,"")</f>
        <v/>
      </c>
      <c r="B45" s="19">
        <f>IF(33&lt;=$B8,1/(1+$B9)^33,0)</f>
        <v/>
      </c>
      <c r="C45" s="20">
        <f>IF(33&lt;=$B8,$B7*B45,0)</f>
        <v/>
      </c>
      <c r="D45" s="20">
        <f>IF(33&lt;=$B8,$B6*B45,0)</f>
        <v/>
      </c>
    </row>
    <row r="46">
      <c r="A46">
        <f>IF(34&lt;=$B8,34,"")</f>
        <v/>
      </c>
      <c r="B46" s="19">
        <f>IF(34&lt;=$B8,1/(1+$B9)^34,0)</f>
        <v/>
      </c>
      <c r="C46" s="20">
        <f>IF(34&lt;=$B8,$B7*B46,0)</f>
        <v/>
      </c>
      <c r="D46" s="20">
        <f>IF(34&lt;=$B8,$B6*B46,0)</f>
        <v/>
      </c>
    </row>
    <row r="47">
      <c r="A47">
        <f>IF(35&lt;=$B8,35,"")</f>
        <v/>
      </c>
      <c r="B47" s="19">
        <f>IF(35&lt;=$B8,1/(1+$B9)^35,0)</f>
        <v/>
      </c>
      <c r="C47" s="20">
        <f>IF(35&lt;=$B8,$B7*B47,0)</f>
        <v/>
      </c>
      <c r="D47" s="20">
        <f>IF(35&lt;=$B8,$B6*B47,0)</f>
        <v/>
      </c>
    </row>
    <row r="48">
      <c r="A48">
        <f>IF(36&lt;=$B8,36,"")</f>
        <v/>
      </c>
      <c r="B48" s="19">
        <f>IF(36&lt;=$B8,1/(1+$B9)^36,0)</f>
        <v/>
      </c>
      <c r="C48" s="20">
        <f>IF(36&lt;=$B8,$B7*B48,0)</f>
        <v/>
      </c>
      <c r="D48" s="20">
        <f>IF(36&lt;=$B8,$B6*B48,0)</f>
        <v/>
      </c>
    </row>
    <row r="49">
      <c r="A49">
        <f>IF(37&lt;=$B8,37,"")</f>
        <v/>
      </c>
      <c r="B49" s="19">
        <f>IF(37&lt;=$B8,1/(1+$B9)^37,0)</f>
        <v/>
      </c>
      <c r="C49" s="20">
        <f>IF(37&lt;=$B8,$B7*B49,0)</f>
        <v/>
      </c>
      <c r="D49" s="20">
        <f>IF(37&lt;=$B8,$B6*B49,0)</f>
        <v/>
      </c>
    </row>
    <row r="50">
      <c r="A50">
        <f>IF(38&lt;=$B8,38,"")</f>
        <v/>
      </c>
      <c r="B50" s="19">
        <f>IF(38&lt;=$B8,1/(1+$B9)^38,0)</f>
        <v/>
      </c>
      <c r="C50" s="20">
        <f>IF(38&lt;=$B8,$B7*B50,0)</f>
        <v/>
      </c>
      <c r="D50" s="20">
        <f>IF(38&lt;=$B8,$B6*B50,0)</f>
        <v/>
      </c>
    </row>
    <row r="51">
      <c r="A51">
        <f>IF(39&lt;=$B8,39,"")</f>
        <v/>
      </c>
      <c r="B51" s="19">
        <f>IF(39&lt;=$B8,1/(1+$B9)^39,0)</f>
        <v/>
      </c>
      <c r="C51" s="20">
        <f>IF(39&lt;=$B8,$B7*B51,0)</f>
        <v/>
      </c>
      <c r="D51" s="20">
        <f>IF(39&lt;=$B8,$B6*B51,0)</f>
        <v/>
      </c>
    </row>
    <row r="52">
      <c r="A52">
        <f>IF(40&lt;=$B8,40,"")</f>
        <v/>
      </c>
      <c r="B52" s="19">
        <f>IF(40&lt;=$B8,1/(1+$B9)^40,0)</f>
        <v/>
      </c>
      <c r="C52" s="20">
        <f>IF(40&lt;=$B8,$B7*B52,0)</f>
        <v/>
      </c>
      <c r="D52" s="20">
        <f>IF(40&lt;=$B8,$B6*B52,0)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2026-06-27T10:07:46Z</dcterms:created>
  <dcterms:modified xmlns:dcterms="http://purl.org/dc/terms/" xmlns:xsi="http://www.w3.org/2001/XMLSchema-instance" xsi:type="dcterms:W3CDTF">2026-06-27T10:07:46Z</dcterms:modified>
</cp:coreProperties>
</file>