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COE" sheetId="2" state="visible" r:id="rId2"/>
    <sheet xmlns:r="http://schemas.openxmlformats.org/officeDocument/2006/relationships" name="Savings" sheetId="3" state="visible" r:id="rId3"/>
    <sheet xmlns:r="http://schemas.openxmlformats.org/officeDocument/2006/relationships" name="Exit NPV-DCF" sheetId="4" state="visible" r:id="rId4"/>
    <sheet xmlns:r="http://schemas.openxmlformats.org/officeDocument/2006/relationships" name="BESS" sheetId="5" state="visible" r:id="rId5"/>
    <sheet xmlns:r="http://schemas.openxmlformats.org/officeDocument/2006/relationships" name="Project fina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€#,##0"/>
    <numFmt numFmtId="165" formatCode="0.0%"/>
    <numFmt numFmtId="166" formatCode="0.0000"/>
    <numFmt numFmtId="167" formatCode="€#,##0.0"/>
    <numFmt numFmtId="168" formatCode="0.00&quot;x&quot;"/>
    <numFmt numFmtId="169" formatCode="0.0"/>
    <numFmt numFmtId="170" formatCode="0.0&quot; yrs&quot;"/>
  </numFmts>
  <fonts count="14">
    <font>
      <name val="Calibri"/>
      <family val="2"/>
      <color theme="1"/>
      <sz val="11"/>
      <scheme val="minor"/>
    </font>
    <font>
      <b val="1"/>
      <color rgb="00191B4D"/>
      <sz val="20"/>
    </font>
    <font>
      <color rgb="00621558"/>
      <sz val="11"/>
    </font>
    <font>
      <color rgb="00221A33"/>
      <sz val="11"/>
    </font>
    <font>
      <b val="1"/>
      <color rgb="00191B4D"/>
      <sz val="11"/>
    </font>
    <font>
      <name val="Calibri"/>
      <b val="1"/>
      <color rgb="00191B4D"/>
      <sz val="18"/>
    </font>
    <font>
      <color rgb="005F5870"/>
      <sz val="10"/>
    </font>
    <font>
      <b val="1"/>
      <color rgb="00FFFFFF"/>
      <sz val="11"/>
    </font>
    <font>
      <b val="1"/>
      <color rgb="00621558"/>
      <sz val="11"/>
    </font>
    <font>
      <i val="1"/>
      <color rgb="005F5870"/>
      <sz val="10"/>
    </font>
    <font>
      <b val="1"/>
      <color rgb="005F5870"/>
    </font>
    <font>
      <b val="1"/>
      <color rgb="00191B4D"/>
      <sz val="13"/>
    </font>
    <font>
      <i val="1"/>
      <color rgb="005F5870"/>
      <sz val="9"/>
    </font>
    <font>
      <color rgb="005F5870"/>
      <sz val="9"/>
    </font>
  </fonts>
  <fills count="5">
    <fill>
      <patternFill/>
    </fill>
    <fill>
      <patternFill patternType="gray125"/>
    </fill>
    <fill>
      <patternFill patternType="solid">
        <fgColor rgb="00621558"/>
      </patternFill>
    </fill>
    <fill>
      <patternFill patternType="solid">
        <fgColor rgb="00F1E9F4"/>
      </patternFill>
    </fill>
    <fill>
      <patternFill patternType="solid">
        <fgColor rgb="00ECE7F3"/>
      </patternFill>
    </fill>
  </fills>
  <borders count="2">
    <border>
      <left/>
      <right/>
      <top/>
      <bottom/>
      <diagonal/>
    </border>
    <border>
      <left style="thin">
        <color rgb="00E4DEF1"/>
      </left>
      <right style="thin">
        <color rgb="00E4DEF1"/>
      </right>
      <top style="thin">
        <color rgb="00E4DEF1"/>
      </top>
      <bottom style="thin">
        <color rgb="00E4DEF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0" applyAlignment="1" pivotButton="0" quotePrefix="0" xfId="0">
      <alignment vertical="center"/>
    </xf>
    <xf numFmtId="0" fontId="0" fillId="2" borderId="0" pivotButton="0" quotePrefix="0" xfId="0"/>
    <xf numFmtId="0" fontId="7" fillId="2" borderId="0" pivotButton="0" quotePrefix="0" xfId="0"/>
    <xf numFmtId="164" fontId="8" fillId="3" borderId="1" applyAlignment="1" pivotButton="0" quotePrefix="0" xfId="0">
      <alignment horizontal="right"/>
    </xf>
    <xf numFmtId="0" fontId="9" fillId="0" borderId="0" pivotButton="0" quotePrefix="0" xfId="0"/>
    <xf numFmtId="167" fontId="11" fillId="4" borderId="1" applyAlignment="1" pivotButton="0" quotePrefix="0" xfId="0">
      <alignment horizontal="right"/>
    </xf>
    <xf numFmtId="167" fontId="8" fillId="0" borderId="1" applyAlignment="1" pivotButton="0" quotePrefix="0" xfId="0">
      <alignment horizontal="right"/>
    </xf>
    <xf numFmtId="3" fontId="8" fillId="3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" fontId="8" fillId="3" borderId="1" applyAlignment="1" pivotButton="0" quotePrefix="0" xfId="0">
      <alignment horizontal="right"/>
    </xf>
    <xf numFmtId="49" fontId="4" fillId="0" borderId="1" applyAlignment="1" pivotButton="0" quotePrefix="0" xfId="0">
      <alignment horizontal="right"/>
    </xf>
    <xf numFmtId="165" fontId="8" fillId="3" borderId="1" applyAlignment="1" pivotButton="0" quotePrefix="0" xfId="0">
      <alignment horizontal="right"/>
    </xf>
    <xf numFmtId="0" fontId="12" fillId="0" borderId="0" pivotButton="0" quotePrefix="0" xfId="0"/>
    <xf numFmtId="0" fontId="1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4" fontId="11" fillId="4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8" fontId="8" fillId="0" borderId="1" applyAlignment="1" pivotButton="0" quotePrefix="0" xfId="0">
      <alignment horizontal="right"/>
    </xf>
    <xf numFmtId="169" fontId="8" fillId="3" borderId="1" applyAlignment="1" pivotButton="0" quotePrefix="0" xfId="0">
      <alignment horizontal="right"/>
    </xf>
    <xf numFmtId="169" fontId="8" fillId="0" borderId="1" applyAlignment="1" pivotButton="0" quotePrefix="0" xfId="0">
      <alignment horizontal="right"/>
    </xf>
    <xf numFmtId="170" fontId="8" fillId="0" borderId="1" applyAlignment="1" pivotButton="0" quotePrefix="0" xfId="0">
      <alignment horizontal="right"/>
    </xf>
    <xf numFmtId="165" fontId="11" fillId="4" borderId="1" applyAlignment="1" pivotButton="0" quotePrefix="0" xfId="0">
      <alignment horizontal="right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Newman Energy — Model Pack</t>
        </is>
      </c>
    </row>
    <row r="2">
      <c r="A2" s="2" t="inlineStr">
        <is>
          <t>Sales Academy  ·  lopezpalacios.github.io/newman-energy-academy</t>
        </is>
      </c>
    </row>
    <row r="4">
      <c r="A4" s="3" t="inlineStr"/>
    </row>
    <row r="5">
      <c r="A5" s="3" t="inlineStr">
        <is>
          <t>Four live financial models. Blue cells are inputs — change them; everything recalculates.</t>
        </is>
      </c>
    </row>
    <row r="6">
      <c r="A6" s="3" t="inlineStr"/>
    </row>
    <row r="7">
      <c r="A7" s="4" t="inlineStr">
        <is>
          <t xml:space="preserve">  1. LCOE Builder — levelised cost of solar energy vs the grid tariff</t>
        </is>
      </c>
    </row>
    <row r="8">
      <c r="A8" s="4" t="inlineStr">
        <is>
          <t xml:space="preserve">  2. Customer Savings — what a client saves buying covered load under a PPA</t>
        </is>
      </c>
    </row>
    <row r="9">
      <c r="A9" s="4" t="inlineStr">
        <is>
          <t xml:space="preserve">  3. NPV / DCF Exit — sale price of an operating asset under yield compression</t>
        </is>
      </c>
    </row>
    <row r="10">
      <c r="A10" s="4" t="inlineStr">
        <is>
          <t xml:space="preserve">  4. BESS Revenue Stack — arbitrage + capacity + ancillary revenue of a battery</t>
        </is>
      </c>
    </row>
    <row r="11">
      <c r="A11" s="4" t="inlineStr">
        <is>
          <t xml:space="preserve">  5. Developer Project Finance — gearing, DSCR and levered equity IRR</t>
        </is>
      </c>
    </row>
    <row r="12">
      <c r="A12" s="3" t="inlineStr"/>
    </row>
    <row r="13">
      <c r="A13" s="3" t="inlineStr">
        <is>
          <t>These mirror the interactive calculators on the Academy site exactly.</t>
        </is>
      </c>
    </row>
    <row r="14">
      <c r="A14" s="3" t="inlineStr">
        <is>
          <t>All figures are illustrative defaults for Europe / Czechia.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5" t="inlineStr">
        <is>
          <t>LCOE Builder</t>
        </is>
      </c>
    </row>
    <row r="2">
      <c r="A2" s="6" t="inlineStr">
        <is>
          <t>Levelised cost of energy per kWp of solar  ·  Newman Energy Academy</t>
        </is>
      </c>
    </row>
    <row r="4">
      <c r="A4" s="7" t="inlineStr">
        <is>
          <t>Inputs</t>
        </is>
      </c>
      <c r="B4" s="8" t="n"/>
      <c r="C4" s="8" t="n"/>
      <c r="E4" s="9" t="inlineStr">
        <is>
          <t>Results</t>
        </is>
      </c>
      <c r="F4" s="8" t="n"/>
      <c r="G4" s="8" t="n"/>
    </row>
    <row r="5">
      <c r="A5" s="3" t="inlineStr">
        <is>
          <t>Capex</t>
        </is>
      </c>
      <c r="B5" s="10" t="n">
        <v>600</v>
      </c>
      <c r="C5" s="11" t="inlineStr">
        <is>
          <t>EUR / kWp</t>
        </is>
      </c>
      <c r="E5" s="4" t="inlineStr">
        <is>
          <t>LCOE</t>
        </is>
      </c>
      <c r="F5" s="12">
        <f>($B5+SUM(D13:D52))/SUM(C13:C52)*1000</f>
        <v/>
      </c>
      <c r="G5" s="11" t="inlineStr">
        <is>
          <t>EUR / MWh</t>
        </is>
      </c>
    </row>
    <row r="6">
      <c r="A6" s="3" t="inlineStr">
        <is>
          <t>Opex / year</t>
        </is>
      </c>
      <c r="B6" s="10" t="n">
        <v>12</v>
      </c>
      <c r="C6" s="11" t="inlineStr">
        <is>
          <t>EUR / kWp / yr</t>
        </is>
      </c>
      <c r="E6" s="3" t="inlineStr">
        <is>
          <t>Margin vs grid</t>
        </is>
      </c>
      <c r="F6" s="13">
        <f>$B10-F5</f>
        <v/>
      </c>
      <c r="G6" s="11" t="inlineStr">
        <is>
          <t>EUR / MWh</t>
        </is>
      </c>
    </row>
    <row r="7">
      <c r="A7" s="3" t="inlineStr">
        <is>
          <t>Specific yield</t>
        </is>
      </c>
      <c r="B7" s="14" t="n">
        <v>1050</v>
      </c>
      <c r="C7" s="11" t="inlineStr">
        <is>
          <t>kWh / kWp / yr</t>
        </is>
      </c>
      <c r="E7" s="3" t="inlineStr">
        <is>
          <t>Discount to grid</t>
        </is>
      </c>
      <c r="F7" s="15">
        <f>IF($B10=0,0,($B10-F5)/$B10)</f>
        <v/>
      </c>
    </row>
    <row r="8">
      <c r="A8" s="3" t="inlineStr">
        <is>
          <t>Asset life</t>
        </is>
      </c>
      <c r="B8" s="16" t="n">
        <v>25</v>
      </c>
      <c r="C8" s="11" t="inlineStr">
        <is>
          <t>years</t>
        </is>
      </c>
      <c r="E8" s="3" t="inlineStr">
        <is>
          <t>Verdict</t>
        </is>
      </c>
      <c r="F8" s="17">
        <f>IF(F6&gt;0,"Below grid - sellable","Above grid - no case")</f>
        <v/>
      </c>
    </row>
    <row r="9">
      <c r="A9" s="3" t="inlineStr">
        <is>
          <t>Discount rate</t>
        </is>
      </c>
      <c r="B9" s="18" t="n">
        <v>0.07000000000000001</v>
      </c>
    </row>
    <row r="10">
      <c r="A10" s="3" t="inlineStr">
        <is>
          <t>Grid tariff to beat</t>
        </is>
      </c>
      <c r="B10" s="10" t="n">
        <v>120</v>
      </c>
      <c r="C10" s="11" t="inlineStr">
        <is>
          <t>EUR / MWh</t>
        </is>
      </c>
    </row>
    <row r="11">
      <c r="E11" s="19" t="inlineStr">
        <is>
          <t>Live formulas — change any blue input.</t>
        </is>
      </c>
    </row>
    <row r="12">
      <c r="A12" s="20" t="inlineStr">
        <is>
          <t>Year</t>
        </is>
      </c>
      <c r="B12" s="20" t="inlineStr">
        <is>
          <t>Disc. factor</t>
        </is>
      </c>
      <c r="C12" s="20" t="inlineStr">
        <is>
          <t>Disc. energy</t>
        </is>
      </c>
      <c r="D12" s="20" t="inlineStr">
        <is>
          <t>Disc. opex</t>
        </is>
      </c>
    </row>
    <row r="13">
      <c r="A13">
        <f>IF(1&lt;=$B8,1,"")</f>
        <v/>
      </c>
      <c r="B13" s="21">
        <f>IF(1&lt;=$B8,1/(1+$B9)^1,0)</f>
        <v/>
      </c>
      <c r="C13" s="22">
        <f>IF(1&lt;=$B8,$B7*B13,0)</f>
        <v/>
      </c>
      <c r="D13" s="22">
        <f>IF(1&lt;=$B8,$B6*B13,0)</f>
        <v/>
      </c>
    </row>
    <row r="14">
      <c r="A14">
        <f>IF(2&lt;=$B8,2,"")</f>
        <v/>
      </c>
      <c r="B14" s="21">
        <f>IF(2&lt;=$B8,1/(1+$B9)^2,0)</f>
        <v/>
      </c>
      <c r="C14" s="22">
        <f>IF(2&lt;=$B8,$B7*B14,0)</f>
        <v/>
      </c>
      <c r="D14" s="22">
        <f>IF(2&lt;=$B8,$B6*B14,0)</f>
        <v/>
      </c>
    </row>
    <row r="15">
      <c r="A15">
        <f>IF(3&lt;=$B8,3,"")</f>
        <v/>
      </c>
      <c r="B15" s="21">
        <f>IF(3&lt;=$B8,1/(1+$B9)^3,0)</f>
        <v/>
      </c>
      <c r="C15" s="22">
        <f>IF(3&lt;=$B8,$B7*B15,0)</f>
        <v/>
      </c>
      <c r="D15" s="22">
        <f>IF(3&lt;=$B8,$B6*B15,0)</f>
        <v/>
      </c>
    </row>
    <row r="16">
      <c r="A16">
        <f>IF(4&lt;=$B8,4,"")</f>
        <v/>
      </c>
      <c r="B16" s="21">
        <f>IF(4&lt;=$B8,1/(1+$B9)^4,0)</f>
        <v/>
      </c>
      <c r="C16" s="22">
        <f>IF(4&lt;=$B8,$B7*B16,0)</f>
        <v/>
      </c>
      <c r="D16" s="22">
        <f>IF(4&lt;=$B8,$B6*B16,0)</f>
        <v/>
      </c>
    </row>
    <row r="17">
      <c r="A17">
        <f>IF(5&lt;=$B8,5,"")</f>
        <v/>
      </c>
      <c r="B17" s="21">
        <f>IF(5&lt;=$B8,1/(1+$B9)^5,0)</f>
        <v/>
      </c>
      <c r="C17" s="22">
        <f>IF(5&lt;=$B8,$B7*B17,0)</f>
        <v/>
      </c>
      <c r="D17" s="22">
        <f>IF(5&lt;=$B8,$B6*B17,0)</f>
        <v/>
      </c>
    </row>
    <row r="18">
      <c r="A18">
        <f>IF(6&lt;=$B8,6,"")</f>
        <v/>
      </c>
      <c r="B18" s="21">
        <f>IF(6&lt;=$B8,1/(1+$B9)^6,0)</f>
        <v/>
      </c>
      <c r="C18" s="22">
        <f>IF(6&lt;=$B8,$B7*B18,0)</f>
        <v/>
      </c>
      <c r="D18" s="22">
        <f>IF(6&lt;=$B8,$B6*B18,0)</f>
        <v/>
      </c>
    </row>
    <row r="19">
      <c r="A19">
        <f>IF(7&lt;=$B8,7,"")</f>
        <v/>
      </c>
      <c r="B19" s="21">
        <f>IF(7&lt;=$B8,1/(1+$B9)^7,0)</f>
        <v/>
      </c>
      <c r="C19" s="22">
        <f>IF(7&lt;=$B8,$B7*B19,0)</f>
        <v/>
      </c>
      <c r="D19" s="22">
        <f>IF(7&lt;=$B8,$B6*B19,0)</f>
        <v/>
      </c>
    </row>
    <row r="20">
      <c r="A20">
        <f>IF(8&lt;=$B8,8,"")</f>
        <v/>
      </c>
      <c r="B20" s="21">
        <f>IF(8&lt;=$B8,1/(1+$B9)^8,0)</f>
        <v/>
      </c>
      <c r="C20" s="22">
        <f>IF(8&lt;=$B8,$B7*B20,0)</f>
        <v/>
      </c>
      <c r="D20" s="22">
        <f>IF(8&lt;=$B8,$B6*B20,0)</f>
        <v/>
      </c>
    </row>
    <row r="21">
      <c r="A21">
        <f>IF(9&lt;=$B8,9,"")</f>
        <v/>
      </c>
      <c r="B21" s="21">
        <f>IF(9&lt;=$B8,1/(1+$B9)^9,0)</f>
        <v/>
      </c>
      <c r="C21" s="22">
        <f>IF(9&lt;=$B8,$B7*B21,0)</f>
        <v/>
      </c>
      <c r="D21" s="22">
        <f>IF(9&lt;=$B8,$B6*B21,0)</f>
        <v/>
      </c>
    </row>
    <row r="22">
      <c r="A22">
        <f>IF(10&lt;=$B8,10,"")</f>
        <v/>
      </c>
      <c r="B22" s="21">
        <f>IF(10&lt;=$B8,1/(1+$B9)^10,0)</f>
        <v/>
      </c>
      <c r="C22" s="22">
        <f>IF(10&lt;=$B8,$B7*B22,0)</f>
        <v/>
      </c>
      <c r="D22" s="22">
        <f>IF(10&lt;=$B8,$B6*B22,0)</f>
        <v/>
      </c>
    </row>
    <row r="23">
      <c r="A23">
        <f>IF(11&lt;=$B8,11,"")</f>
        <v/>
      </c>
      <c r="B23" s="21">
        <f>IF(11&lt;=$B8,1/(1+$B9)^11,0)</f>
        <v/>
      </c>
      <c r="C23" s="22">
        <f>IF(11&lt;=$B8,$B7*B23,0)</f>
        <v/>
      </c>
      <c r="D23" s="22">
        <f>IF(11&lt;=$B8,$B6*B23,0)</f>
        <v/>
      </c>
    </row>
    <row r="24">
      <c r="A24">
        <f>IF(12&lt;=$B8,12,"")</f>
        <v/>
      </c>
      <c r="B24" s="21">
        <f>IF(12&lt;=$B8,1/(1+$B9)^12,0)</f>
        <v/>
      </c>
      <c r="C24" s="22">
        <f>IF(12&lt;=$B8,$B7*B24,0)</f>
        <v/>
      </c>
      <c r="D24" s="22">
        <f>IF(12&lt;=$B8,$B6*B24,0)</f>
        <v/>
      </c>
    </row>
    <row r="25">
      <c r="A25">
        <f>IF(13&lt;=$B8,13,"")</f>
        <v/>
      </c>
      <c r="B25" s="21">
        <f>IF(13&lt;=$B8,1/(1+$B9)^13,0)</f>
        <v/>
      </c>
      <c r="C25" s="22">
        <f>IF(13&lt;=$B8,$B7*B25,0)</f>
        <v/>
      </c>
      <c r="D25" s="22">
        <f>IF(13&lt;=$B8,$B6*B25,0)</f>
        <v/>
      </c>
    </row>
    <row r="26">
      <c r="A26">
        <f>IF(14&lt;=$B8,14,"")</f>
        <v/>
      </c>
      <c r="B26" s="21">
        <f>IF(14&lt;=$B8,1/(1+$B9)^14,0)</f>
        <v/>
      </c>
      <c r="C26" s="22">
        <f>IF(14&lt;=$B8,$B7*B26,0)</f>
        <v/>
      </c>
      <c r="D26" s="22">
        <f>IF(14&lt;=$B8,$B6*B26,0)</f>
        <v/>
      </c>
    </row>
    <row r="27">
      <c r="A27">
        <f>IF(15&lt;=$B8,15,"")</f>
        <v/>
      </c>
      <c r="B27" s="21">
        <f>IF(15&lt;=$B8,1/(1+$B9)^15,0)</f>
        <v/>
      </c>
      <c r="C27" s="22">
        <f>IF(15&lt;=$B8,$B7*B27,0)</f>
        <v/>
      </c>
      <c r="D27" s="22">
        <f>IF(15&lt;=$B8,$B6*B27,0)</f>
        <v/>
      </c>
    </row>
    <row r="28">
      <c r="A28">
        <f>IF(16&lt;=$B8,16,"")</f>
        <v/>
      </c>
      <c r="B28" s="21">
        <f>IF(16&lt;=$B8,1/(1+$B9)^16,0)</f>
        <v/>
      </c>
      <c r="C28" s="22">
        <f>IF(16&lt;=$B8,$B7*B28,0)</f>
        <v/>
      </c>
      <c r="D28" s="22">
        <f>IF(16&lt;=$B8,$B6*B28,0)</f>
        <v/>
      </c>
    </row>
    <row r="29">
      <c r="A29">
        <f>IF(17&lt;=$B8,17,"")</f>
        <v/>
      </c>
      <c r="B29" s="21">
        <f>IF(17&lt;=$B8,1/(1+$B9)^17,0)</f>
        <v/>
      </c>
      <c r="C29" s="22">
        <f>IF(17&lt;=$B8,$B7*B29,0)</f>
        <v/>
      </c>
      <c r="D29" s="22">
        <f>IF(17&lt;=$B8,$B6*B29,0)</f>
        <v/>
      </c>
    </row>
    <row r="30">
      <c r="A30">
        <f>IF(18&lt;=$B8,18,"")</f>
        <v/>
      </c>
      <c r="B30" s="21">
        <f>IF(18&lt;=$B8,1/(1+$B9)^18,0)</f>
        <v/>
      </c>
      <c r="C30" s="22">
        <f>IF(18&lt;=$B8,$B7*B30,0)</f>
        <v/>
      </c>
      <c r="D30" s="22">
        <f>IF(18&lt;=$B8,$B6*B30,0)</f>
        <v/>
      </c>
    </row>
    <row r="31">
      <c r="A31">
        <f>IF(19&lt;=$B8,19,"")</f>
        <v/>
      </c>
      <c r="B31" s="21">
        <f>IF(19&lt;=$B8,1/(1+$B9)^19,0)</f>
        <v/>
      </c>
      <c r="C31" s="22">
        <f>IF(19&lt;=$B8,$B7*B31,0)</f>
        <v/>
      </c>
      <c r="D31" s="22">
        <f>IF(19&lt;=$B8,$B6*B31,0)</f>
        <v/>
      </c>
    </row>
    <row r="32">
      <c r="A32">
        <f>IF(20&lt;=$B8,20,"")</f>
        <v/>
      </c>
      <c r="B32" s="21">
        <f>IF(20&lt;=$B8,1/(1+$B9)^20,0)</f>
        <v/>
      </c>
      <c r="C32" s="22">
        <f>IF(20&lt;=$B8,$B7*B32,0)</f>
        <v/>
      </c>
      <c r="D32" s="22">
        <f>IF(20&lt;=$B8,$B6*B32,0)</f>
        <v/>
      </c>
    </row>
    <row r="33">
      <c r="A33">
        <f>IF(21&lt;=$B8,21,"")</f>
        <v/>
      </c>
      <c r="B33" s="21">
        <f>IF(21&lt;=$B8,1/(1+$B9)^21,0)</f>
        <v/>
      </c>
      <c r="C33" s="22">
        <f>IF(21&lt;=$B8,$B7*B33,0)</f>
        <v/>
      </c>
      <c r="D33" s="22">
        <f>IF(21&lt;=$B8,$B6*B33,0)</f>
        <v/>
      </c>
    </row>
    <row r="34">
      <c r="A34">
        <f>IF(22&lt;=$B8,22,"")</f>
        <v/>
      </c>
      <c r="B34" s="21">
        <f>IF(22&lt;=$B8,1/(1+$B9)^22,0)</f>
        <v/>
      </c>
      <c r="C34" s="22">
        <f>IF(22&lt;=$B8,$B7*B34,0)</f>
        <v/>
      </c>
      <c r="D34" s="22">
        <f>IF(22&lt;=$B8,$B6*B34,0)</f>
        <v/>
      </c>
    </row>
    <row r="35">
      <c r="A35">
        <f>IF(23&lt;=$B8,23,"")</f>
        <v/>
      </c>
      <c r="B35" s="21">
        <f>IF(23&lt;=$B8,1/(1+$B9)^23,0)</f>
        <v/>
      </c>
      <c r="C35" s="22">
        <f>IF(23&lt;=$B8,$B7*B35,0)</f>
        <v/>
      </c>
      <c r="D35" s="22">
        <f>IF(23&lt;=$B8,$B6*B35,0)</f>
        <v/>
      </c>
    </row>
    <row r="36">
      <c r="A36">
        <f>IF(24&lt;=$B8,24,"")</f>
        <v/>
      </c>
      <c r="B36" s="21">
        <f>IF(24&lt;=$B8,1/(1+$B9)^24,0)</f>
        <v/>
      </c>
      <c r="C36" s="22">
        <f>IF(24&lt;=$B8,$B7*B36,0)</f>
        <v/>
      </c>
      <c r="D36" s="22">
        <f>IF(24&lt;=$B8,$B6*B36,0)</f>
        <v/>
      </c>
    </row>
    <row r="37">
      <c r="A37">
        <f>IF(25&lt;=$B8,25,"")</f>
        <v/>
      </c>
      <c r="B37" s="21">
        <f>IF(25&lt;=$B8,1/(1+$B9)^25,0)</f>
        <v/>
      </c>
      <c r="C37" s="22">
        <f>IF(25&lt;=$B8,$B7*B37,0)</f>
        <v/>
      </c>
      <c r="D37" s="22">
        <f>IF(25&lt;=$B8,$B6*B37,0)</f>
        <v/>
      </c>
    </row>
    <row r="38">
      <c r="A38">
        <f>IF(26&lt;=$B8,26,"")</f>
        <v/>
      </c>
      <c r="B38" s="21">
        <f>IF(26&lt;=$B8,1/(1+$B9)^26,0)</f>
        <v/>
      </c>
      <c r="C38" s="22">
        <f>IF(26&lt;=$B8,$B7*B38,0)</f>
        <v/>
      </c>
      <c r="D38" s="22">
        <f>IF(26&lt;=$B8,$B6*B38,0)</f>
        <v/>
      </c>
    </row>
    <row r="39">
      <c r="A39">
        <f>IF(27&lt;=$B8,27,"")</f>
        <v/>
      </c>
      <c r="B39" s="21">
        <f>IF(27&lt;=$B8,1/(1+$B9)^27,0)</f>
        <v/>
      </c>
      <c r="C39" s="22">
        <f>IF(27&lt;=$B8,$B7*B39,0)</f>
        <v/>
      </c>
      <c r="D39" s="22">
        <f>IF(27&lt;=$B8,$B6*B39,0)</f>
        <v/>
      </c>
    </row>
    <row r="40">
      <c r="A40">
        <f>IF(28&lt;=$B8,28,"")</f>
        <v/>
      </c>
      <c r="B40" s="21">
        <f>IF(28&lt;=$B8,1/(1+$B9)^28,0)</f>
        <v/>
      </c>
      <c r="C40" s="22">
        <f>IF(28&lt;=$B8,$B7*B40,0)</f>
        <v/>
      </c>
      <c r="D40" s="22">
        <f>IF(28&lt;=$B8,$B6*B40,0)</f>
        <v/>
      </c>
    </row>
    <row r="41">
      <c r="A41">
        <f>IF(29&lt;=$B8,29,"")</f>
        <v/>
      </c>
      <c r="B41" s="21">
        <f>IF(29&lt;=$B8,1/(1+$B9)^29,0)</f>
        <v/>
      </c>
      <c r="C41" s="22">
        <f>IF(29&lt;=$B8,$B7*B41,0)</f>
        <v/>
      </c>
      <c r="D41" s="22">
        <f>IF(29&lt;=$B8,$B6*B41,0)</f>
        <v/>
      </c>
    </row>
    <row r="42">
      <c r="A42">
        <f>IF(30&lt;=$B8,30,"")</f>
        <v/>
      </c>
      <c r="B42" s="21">
        <f>IF(30&lt;=$B8,1/(1+$B9)^30,0)</f>
        <v/>
      </c>
      <c r="C42" s="22">
        <f>IF(30&lt;=$B8,$B7*B42,0)</f>
        <v/>
      </c>
      <c r="D42" s="22">
        <f>IF(30&lt;=$B8,$B6*B42,0)</f>
        <v/>
      </c>
    </row>
    <row r="43">
      <c r="A43">
        <f>IF(31&lt;=$B8,31,"")</f>
        <v/>
      </c>
      <c r="B43" s="21">
        <f>IF(31&lt;=$B8,1/(1+$B9)^31,0)</f>
        <v/>
      </c>
      <c r="C43" s="22">
        <f>IF(31&lt;=$B8,$B7*B43,0)</f>
        <v/>
      </c>
      <c r="D43" s="22">
        <f>IF(31&lt;=$B8,$B6*B43,0)</f>
        <v/>
      </c>
    </row>
    <row r="44">
      <c r="A44">
        <f>IF(32&lt;=$B8,32,"")</f>
        <v/>
      </c>
      <c r="B44" s="21">
        <f>IF(32&lt;=$B8,1/(1+$B9)^32,0)</f>
        <v/>
      </c>
      <c r="C44" s="22">
        <f>IF(32&lt;=$B8,$B7*B44,0)</f>
        <v/>
      </c>
      <c r="D44" s="22">
        <f>IF(32&lt;=$B8,$B6*B44,0)</f>
        <v/>
      </c>
    </row>
    <row r="45">
      <c r="A45">
        <f>IF(33&lt;=$B8,33,"")</f>
        <v/>
      </c>
      <c r="B45" s="21">
        <f>IF(33&lt;=$B8,1/(1+$B9)^33,0)</f>
        <v/>
      </c>
      <c r="C45" s="22">
        <f>IF(33&lt;=$B8,$B7*B45,0)</f>
        <v/>
      </c>
      <c r="D45" s="22">
        <f>IF(33&lt;=$B8,$B6*B45,0)</f>
        <v/>
      </c>
    </row>
    <row r="46">
      <c r="A46">
        <f>IF(34&lt;=$B8,34,"")</f>
        <v/>
      </c>
      <c r="B46" s="21">
        <f>IF(34&lt;=$B8,1/(1+$B9)^34,0)</f>
        <v/>
      </c>
      <c r="C46" s="22">
        <f>IF(34&lt;=$B8,$B7*B46,0)</f>
        <v/>
      </c>
      <c r="D46" s="22">
        <f>IF(34&lt;=$B8,$B6*B46,0)</f>
        <v/>
      </c>
    </row>
    <row r="47">
      <c r="A47">
        <f>IF(35&lt;=$B8,35,"")</f>
        <v/>
      </c>
      <c r="B47" s="21">
        <f>IF(35&lt;=$B8,1/(1+$B9)^35,0)</f>
        <v/>
      </c>
      <c r="C47" s="22">
        <f>IF(35&lt;=$B8,$B7*B47,0)</f>
        <v/>
      </c>
      <c r="D47" s="22">
        <f>IF(35&lt;=$B8,$B6*B47,0)</f>
        <v/>
      </c>
    </row>
    <row r="48">
      <c r="A48">
        <f>IF(36&lt;=$B8,36,"")</f>
        <v/>
      </c>
      <c r="B48" s="21">
        <f>IF(36&lt;=$B8,1/(1+$B9)^36,0)</f>
        <v/>
      </c>
      <c r="C48" s="22">
        <f>IF(36&lt;=$B8,$B7*B48,0)</f>
        <v/>
      </c>
      <c r="D48" s="22">
        <f>IF(36&lt;=$B8,$B6*B48,0)</f>
        <v/>
      </c>
    </row>
    <row r="49">
      <c r="A49">
        <f>IF(37&lt;=$B8,37,"")</f>
        <v/>
      </c>
      <c r="B49" s="21">
        <f>IF(37&lt;=$B8,1/(1+$B9)^37,0)</f>
        <v/>
      </c>
      <c r="C49" s="22">
        <f>IF(37&lt;=$B8,$B7*B49,0)</f>
        <v/>
      </c>
      <c r="D49" s="22">
        <f>IF(37&lt;=$B8,$B6*B49,0)</f>
        <v/>
      </c>
    </row>
    <row r="50">
      <c r="A50">
        <f>IF(38&lt;=$B8,38,"")</f>
        <v/>
      </c>
      <c r="B50" s="21">
        <f>IF(38&lt;=$B8,1/(1+$B9)^38,0)</f>
        <v/>
      </c>
      <c r="C50" s="22">
        <f>IF(38&lt;=$B8,$B7*B50,0)</f>
        <v/>
      </c>
      <c r="D50" s="22">
        <f>IF(38&lt;=$B8,$B6*B50,0)</f>
        <v/>
      </c>
    </row>
    <row r="51">
      <c r="A51">
        <f>IF(39&lt;=$B8,39,"")</f>
        <v/>
      </c>
      <c r="B51" s="21">
        <f>IF(39&lt;=$B8,1/(1+$B9)^39,0)</f>
        <v/>
      </c>
      <c r="C51" s="22">
        <f>IF(39&lt;=$B8,$B7*B51,0)</f>
        <v/>
      </c>
      <c r="D51" s="22">
        <f>IF(39&lt;=$B8,$B6*B51,0)</f>
        <v/>
      </c>
    </row>
    <row r="52">
      <c r="A52">
        <f>IF(40&lt;=$B8,40,"")</f>
        <v/>
      </c>
      <c r="B52" s="21">
        <f>IF(40&lt;=$B8,1/(1+$B9)^40,0)</f>
        <v/>
      </c>
      <c r="C52" s="22">
        <f>IF(40&lt;=$B8,$B7*B52,0)</f>
        <v/>
      </c>
      <c r="D52" s="22">
        <f>IF(40&lt;=$B8,$B6*B52,0)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5" t="inlineStr">
        <is>
          <t>Customer Savings</t>
        </is>
      </c>
    </row>
    <row r="2">
      <c r="A2" s="6" t="inlineStr">
        <is>
          <t>Grid vs PPA cost on covered load  ·  Newman Energy Academy</t>
        </is>
      </c>
    </row>
    <row r="4">
      <c r="A4" s="7" t="inlineStr">
        <is>
          <t>Inputs</t>
        </is>
      </c>
      <c r="B4" s="8" t="n"/>
      <c r="C4" s="8" t="n"/>
      <c r="E4" s="9" t="inlineStr">
        <is>
          <t>Results</t>
        </is>
      </c>
      <c r="F4" s="8" t="n"/>
      <c r="G4" s="8" t="n"/>
    </row>
    <row r="5">
      <c r="A5" s="3" t="inlineStr">
        <is>
          <t>Annual consumption</t>
        </is>
      </c>
      <c r="B5" s="14" t="n">
        <v>5000</v>
      </c>
      <c r="C5" s="11" t="inlineStr">
        <is>
          <t>MWh / yr</t>
        </is>
      </c>
      <c r="E5" s="4" t="inlineStr">
        <is>
          <t>Saving / year</t>
        </is>
      </c>
      <c r="F5" s="23">
        <f>($B5*$B8)*($B6-$B7)</f>
        <v/>
      </c>
      <c r="G5" s="11" t="inlineStr">
        <is>
          <t>per year</t>
        </is>
      </c>
    </row>
    <row r="6">
      <c r="A6" s="3" t="inlineStr">
        <is>
          <t>Grid tariff</t>
        </is>
      </c>
      <c r="B6" s="10" t="n">
        <v>120</v>
      </c>
      <c r="C6" s="11" t="inlineStr">
        <is>
          <t>EUR / MWh</t>
        </is>
      </c>
      <c r="E6" s="3" t="inlineStr">
        <is>
          <t>% off covered bill</t>
        </is>
      </c>
      <c r="F6" s="15">
        <f>IF($B6=0,0,($B6-$B7)/$B6)</f>
        <v/>
      </c>
    </row>
    <row r="7">
      <c r="A7" s="3" t="inlineStr">
        <is>
          <t>PPA price</t>
        </is>
      </c>
      <c r="B7" s="10" t="n">
        <v>80</v>
      </c>
      <c r="C7" s="11" t="inlineStr">
        <is>
          <t>EUR / MWh</t>
        </is>
      </c>
      <c r="E7" s="3" t="inlineStr">
        <is>
          <t>10-year saving</t>
        </is>
      </c>
      <c r="F7" s="24">
        <f>($B5*$B8)*($B6-$B7)*10</f>
        <v/>
      </c>
    </row>
    <row r="8">
      <c r="A8" s="3" t="inlineStr">
        <is>
          <t>Share covered by PPA</t>
        </is>
      </c>
      <c r="B8" s="18" t="n">
        <v>0.6</v>
      </c>
      <c r="E8" s="3" t="inlineStr">
        <is>
          <t>Covered load</t>
        </is>
      </c>
      <c r="F8" s="25">
        <f>($B5*$B8)</f>
        <v/>
      </c>
      <c r="G8" s="11" t="inlineStr">
        <is>
          <t>MWh / yr</t>
        </is>
      </c>
    </row>
    <row r="9">
      <c r="E9" s="3" t="inlineStr">
        <is>
          <t>New PPA bill</t>
        </is>
      </c>
      <c r="F9" s="24">
        <f>($B5*$B8)*$B7</f>
        <v/>
      </c>
      <c r="G9" s="11" t="inlineStr">
        <is>
          <t>per year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5" t="inlineStr">
        <is>
          <t>NPV / DCF Exit Valuation</t>
        </is>
      </c>
    </row>
    <row r="2">
      <c r="A2" s="6" t="inlineStr">
        <is>
          <t>Sell an operating asset to a fund at a compressed yield  ·  Newman Energy Academy</t>
        </is>
      </c>
    </row>
    <row r="4">
      <c r="A4" s="7" t="inlineStr">
        <is>
          <t>Inputs</t>
        </is>
      </c>
      <c r="B4" s="8" t="n"/>
      <c r="C4" s="8" t="n"/>
      <c r="F4" s="9" t="inlineStr">
        <is>
          <t>Results</t>
        </is>
      </c>
      <c r="G4" s="8" t="n"/>
      <c r="H4" s="8" t="n"/>
    </row>
    <row r="5">
      <c r="A5" s="3" t="inlineStr">
        <is>
          <t>Net cash flow / year</t>
        </is>
      </c>
      <c r="B5" s="10" t="n">
        <v>350000</v>
      </c>
      <c r="C5" s="11" t="inlineStr">
        <is>
          <t>EUR / yr</t>
        </is>
      </c>
      <c r="F5" s="4" t="inlineStr">
        <is>
          <t>Sale price (NPV @ fund yield)</t>
        </is>
      </c>
      <c r="G5" s="23">
        <f>SUM(C13:C52)</f>
        <v/>
      </c>
    </row>
    <row r="6">
      <c r="A6" s="3" t="inlineStr">
        <is>
          <t>Build cost (capex)</t>
        </is>
      </c>
      <c r="B6" s="10" t="n">
        <v>3000000</v>
      </c>
      <c r="C6" s="11" t="inlineStr">
        <is>
          <t>EUR</t>
        </is>
      </c>
      <c r="F6" s="3" t="inlineStr">
        <is>
          <t>Gain over build cost</t>
        </is>
      </c>
      <c r="G6" s="24">
        <f>SUM(C13:C52)-$B6</f>
        <v/>
      </c>
    </row>
    <row r="7">
      <c r="A7" s="3" t="inlineStr">
        <is>
          <t>Asset life</t>
        </is>
      </c>
      <c r="B7" s="16" t="n">
        <v>25</v>
      </c>
      <c r="C7" s="11" t="inlineStr">
        <is>
          <t>years</t>
        </is>
      </c>
      <c r="F7" s="3" t="inlineStr">
        <is>
          <t>Money multiple</t>
        </is>
      </c>
      <c r="G7" s="26">
        <f>IF($B6=0,0,SUM(C13:C52)/$B6)</f>
        <v/>
      </c>
    </row>
    <row r="8">
      <c r="A8" s="3" t="inlineStr">
        <is>
          <t>Your build hurdle rate</t>
        </is>
      </c>
      <c r="B8" s="18" t="n">
        <v>0.11</v>
      </c>
      <c r="F8" s="3" t="inlineStr">
        <is>
          <t>Value from yield compression</t>
        </is>
      </c>
      <c r="G8" s="24">
        <f>SUM(C13:C52)-SUM(D13:D52)</f>
        <v/>
      </c>
    </row>
    <row r="9">
      <c r="A9" s="3" t="inlineStr">
        <is>
          <t>Fund's required yield</t>
        </is>
      </c>
      <c r="B9" s="18" t="n">
        <v>0.07000000000000001</v>
      </c>
      <c r="F9" s="3" t="inlineStr">
        <is>
          <t>Yield gap</t>
        </is>
      </c>
      <c r="G9" s="15">
        <f>$B8-$B9</f>
        <v/>
      </c>
    </row>
    <row r="10">
      <c r="A10" s="3" t="inlineStr">
        <is>
          <t>Terminal / residual value</t>
        </is>
      </c>
      <c r="B10" s="10" t="n">
        <v>0</v>
      </c>
      <c r="C10" s="11" t="inlineStr">
        <is>
          <t>EUR</t>
        </is>
      </c>
      <c r="F10" s="3" t="inlineStr">
        <is>
          <t>Build IRR (if you hold)</t>
        </is>
      </c>
      <c r="G10" s="15">
        <f>IFERROR(IRR(E12:E52),"-")</f>
        <v/>
      </c>
    </row>
    <row r="12">
      <c r="A12" s="20" t="inlineStr">
        <is>
          <t>Year</t>
        </is>
      </c>
      <c r="B12" s="20" t="inlineStr">
        <is>
          <t>Cash flow</t>
        </is>
      </c>
      <c r="C12" s="20" t="inlineStr">
        <is>
          <t>PV @ exit</t>
        </is>
      </c>
      <c r="D12" s="20" t="inlineStr">
        <is>
          <t>PV @ build</t>
        </is>
      </c>
      <c r="E12">
        <f>-$B6</f>
        <v/>
      </c>
    </row>
    <row r="13">
      <c r="A13">
        <f>IF(1&lt;=$B7,1,"")</f>
        <v/>
      </c>
      <c r="B13" s="22">
        <f>IF(1&lt;$B7,$B5,IF(1=$B7,$B5+$B10,0))</f>
        <v/>
      </c>
      <c r="C13" s="22">
        <f>IF(1&lt;=$B7,B13/(1+$B9)^1,0)</f>
        <v/>
      </c>
      <c r="D13" s="22">
        <f>IF(1&lt;=$B7,B13/(1+$B8)^1,0)</f>
        <v/>
      </c>
      <c r="E13">
        <f>B13</f>
        <v/>
      </c>
    </row>
    <row r="14">
      <c r="A14">
        <f>IF(2&lt;=$B7,2,"")</f>
        <v/>
      </c>
      <c r="B14" s="22">
        <f>IF(2&lt;$B7,$B5,IF(2=$B7,$B5+$B10,0))</f>
        <v/>
      </c>
      <c r="C14" s="22">
        <f>IF(2&lt;=$B7,B14/(1+$B9)^2,0)</f>
        <v/>
      </c>
      <c r="D14" s="22">
        <f>IF(2&lt;=$B7,B14/(1+$B8)^2,0)</f>
        <v/>
      </c>
      <c r="E14">
        <f>B14</f>
        <v/>
      </c>
    </row>
    <row r="15">
      <c r="A15">
        <f>IF(3&lt;=$B7,3,"")</f>
        <v/>
      </c>
      <c r="B15" s="22">
        <f>IF(3&lt;$B7,$B5,IF(3=$B7,$B5+$B10,0))</f>
        <v/>
      </c>
      <c r="C15" s="22">
        <f>IF(3&lt;=$B7,B15/(1+$B9)^3,0)</f>
        <v/>
      </c>
      <c r="D15" s="22">
        <f>IF(3&lt;=$B7,B15/(1+$B8)^3,0)</f>
        <v/>
      </c>
      <c r="E15">
        <f>B15</f>
        <v/>
      </c>
    </row>
    <row r="16">
      <c r="A16">
        <f>IF(4&lt;=$B7,4,"")</f>
        <v/>
      </c>
      <c r="B16" s="22">
        <f>IF(4&lt;$B7,$B5,IF(4=$B7,$B5+$B10,0))</f>
        <v/>
      </c>
      <c r="C16" s="22">
        <f>IF(4&lt;=$B7,B16/(1+$B9)^4,0)</f>
        <v/>
      </c>
      <c r="D16" s="22">
        <f>IF(4&lt;=$B7,B16/(1+$B8)^4,0)</f>
        <v/>
      </c>
      <c r="E16">
        <f>B16</f>
        <v/>
      </c>
    </row>
    <row r="17">
      <c r="A17">
        <f>IF(5&lt;=$B7,5,"")</f>
        <v/>
      </c>
      <c r="B17" s="22">
        <f>IF(5&lt;$B7,$B5,IF(5=$B7,$B5+$B10,0))</f>
        <v/>
      </c>
      <c r="C17" s="22">
        <f>IF(5&lt;=$B7,B17/(1+$B9)^5,0)</f>
        <v/>
      </c>
      <c r="D17" s="22">
        <f>IF(5&lt;=$B7,B17/(1+$B8)^5,0)</f>
        <v/>
      </c>
      <c r="E17">
        <f>B17</f>
        <v/>
      </c>
    </row>
    <row r="18">
      <c r="A18">
        <f>IF(6&lt;=$B7,6,"")</f>
        <v/>
      </c>
      <c r="B18" s="22">
        <f>IF(6&lt;$B7,$B5,IF(6=$B7,$B5+$B10,0))</f>
        <v/>
      </c>
      <c r="C18" s="22">
        <f>IF(6&lt;=$B7,B18/(1+$B9)^6,0)</f>
        <v/>
      </c>
      <c r="D18" s="22">
        <f>IF(6&lt;=$B7,B18/(1+$B8)^6,0)</f>
        <v/>
      </c>
      <c r="E18">
        <f>B18</f>
        <v/>
      </c>
    </row>
    <row r="19">
      <c r="A19">
        <f>IF(7&lt;=$B7,7,"")</f>
        <v/>
      </c>
      <c r="B19" s="22">
        <f>IF(7&lt;$B7,$B5,IF(7=$B7,$B5+$B10,0))</f>
        <v/>
      </c>
      <c r="C19" s="22">
        <f>IF(7&lt;=$B7,B19/(1+$B9)^7,0)</f>
        <v/>
      </c>
      <c r="D19" s="22">
        <f>IF(7&lt;=$B7,B19/(1+$B8)^7,0)</f>
        <v/>
      </c>
      <c r="E19">
        <f>B19</f>
        <v/>
      </c>
    </row>
    <row r="20">
      <c r="A20">
        <f>IF(8&lt;=$B7,8,"")</f>
        <v/>
      </c>
      <c r="B20" s="22">
        <f>IF(8&lt;$B7,$B5,IF(8=$B7,$B5+$B10,0))</f>
        <v/>
      </c>
      <c r="C20" s="22">
        <f>IF(8&lt;=$B7,B20/(1+$B9)^8,0)</f>
        <v/>
      </c>
      <c r="D20" s="22">
        <f>IF(8&lt;=$B7,B20/(1+$B8)^8,0)</f>
        <v/>
      </c>
      <c r="E20">
        <f>B20</f>
        <v/>
      </c>
    </row>
    <row r="21">
      <c r="A21">
        <f>IF(9&lt;=$B7,9,"")</f>
        <v/>
      </c>
      <c r="B21" s="22">
        <f>IF(9&lt;$B7,$B5,IF(9=$B7,$B5+$B10,0))</f>
        <v/>
      </c>
      <c r="C21" s="22">
        <f>IF(9&lt;=$B7,B21/(1+$B9)^9,0)</f>
        <v/>
      </c>
      <c r="D21" s="22">
        <f>IF(9&lt;=$B7,B21/(1+$B8)^9,0)</f>
        <v/>
      </c>
      <c r="E21">
        <f>B21</f>
        <v/>
      </c>
    </row>
    <row r="22">
      <c r="A22">
        <f>IF(10&lt;=$B7,10,"")</f>
        <v/>
      </c>
      <c r="B22" s="22">
        <f>IF(10&lt;$B7,$B5,IF(10=$B7,$B5+$B10,0))</f>
        <v/>
      </c>
      <c r="C22" s="22">
        <f>IF(10&lt;=$B7,B22/(1+$B9)^10,0)</f>
        <v/>
      </c>
      <c r="D22" s="22">
        <f>IF(10&lt;=$B7,B22/(1+$B8)^10,0)</f>
        <v/>
      </c>
      <c r="E22">
        <f>B22</f>
        <v/>
      </c>
    </row>
    <row r="23">
      <c r="A23">
        <f>IF(11&lt;=$B7,11,"")</f>
        <v/>
      </c>
      <c r="B23" s="22">
        <f>IF(11&lt;$B7,$B5,IF(11=$B7,$B5+$B10,0))</f>
        <v/>
      </c>
      <c r="C23" s="22">
        <f>IF(11&lt;=$B7,B23/(1+$B9)^11,0)</f>
        <v/>
      </c>
      <c r="D23" s="22">
        <f>IF(11&lt;=$B7,B23/(1+$B8)^11,0)</f>
        <v/>
      </c>
      <c r="E23">
        <f>B23</f>
        <v/>
      </c>
    </row>
    <row r="24">
      <c r="A24">
        <f>IF(12&lt;=$B7,12,"")</f>
        <v/>
      </c>
      <c r="B24" s="22">
        <f>IF(12&lt;$B7,$B5,IF(12=$B7,$B5+$B10,0))</f>
        <v/>
      </c>
      <c r="C24" s="22">
        <f>IF(12&lt;=$B7,B24/(1+$B9)^12,0)</f>
        <v/>
      </c>
      <c r="D24" s="22">
        <f>IF(12&lt;=$B7,B24/(1+$B8)^12,0)</f>
        <v/>
      </c>
      <c r="E24">
        <f>B24</f>
        <v/>
      </c>
    </row>
    <row r="25">
      <c r="A25">
        <f>IF(13&lt;=$B7,13,"")</f>
        <v/>
      </c>
      <c r="B25" s="22">
        <f>IF(13&lt;$B7,$B5,IF(13=$B7,$B5+$B10,0))</f>
        <v/>
      </c>
      <c r="C25" s="22">
        <f>IF(13&lt;=$B7,B25/(1+$B9)^13,0)</f>
        <v/>
      </c>
      <c r="D25" s="22">
        <f>IF(13&lt;=$B7,B25/(1+$B8)^13,0)</f>
        <v/>
      </c>
      <c r="E25">
        <f>B25</f>
        <v/>
      </c>
    </row>
    <row r="26">
      <c r="A26">
        <f>IF(14&lt;=$B7,14,"")</f>
        <v/>
      </c>
      <c r="B26" s="22">
        <f>IF(14&lt;$B7,$B5,IF(14=$B7,$B5+$B10,0))</f>
        <v/>
      </c>
      <c r="C26" s="22">
        <f>IF(14&lt;=$B7,B26/(1+$B9)^14,0)</f>
        <v/>
      </c>
      <c r="D26" s="22">
        <f>IF(14&lt;=$B7,B26/(1+$B8)^14,0)</f>
        <v/>
      </c>
      <c r="E26">
        <f>B26</f>
        <v/>
      </c>
    </row>
    <row r="27">
      <c r="A27">
        <f>IF(15&lt;=$B7,15,"")</f>
        <v/>
      </c>
      <c r="B27" s="22">
        <f>IF(15&lt;$B7,$B5,IF(15=$B7,$B5+$B10,0))</f>
        <v/>
      </c>
      <c r="C27" s="22">
        <f>IF(15&lt;=$B7,B27/(1+$B9)^15,0)</f>
        <v/>
      </c>
      <c r="D27" s="22">
        <f>IF(15&lt;=$B7,B27/(1+$B8)^15,0)</f>
        <v/>
      </c>
      <c r="E27">
        <f>B27</f>
        <v/>
      </c>
    </row>
    <row r="28">
      <c r="A28">
        <f>IF(16&lt;=$B7,16,"")</f>
        <v/>
      </c>
      <c r="B28" s="22">
        <f>IF(16&lt;$B7,$B5,IF(16=$B7,$B5+$B10,0))</f>
        <v/>
      </c>
      <c r="C28" s="22">
        <f>IF(16&lt;=$B7,B28/(1+$B9)^16,0)</f>
        <v/>
      </c>
      <c r="D28" s="22">
        <f>IF(16&lt;=$B7,B28/(1+$B8)^16,0)</f>
        <v/>
      </c>
      <c r="E28">
        <f>B28</f>
        <v/>
      </c>
    </row>
    <row r="29">
      <c r="A29">
        <f>IF(17&lt;=$B7,17,"")</f>
        <v/>
      </c>
      <c r="B29" s="22">
        <f>IF(17&lt;$B7,$B5,IF(17=$B7,$B5+$B10,0))</f>
        <v/>
      </c>
      <c r="C29" s="22">
        <f>IF(17&lt;=$B7,B29/(1+$B9)^17,0)</f>
        <v/>
      </c>
      <c r="D29" s="22">
        <f>IF(17&lt;=$B7,B29/(1+$B8)^17,0)</f>
        <v/>
      </c>
      <c r="E29">
        <f>B29</f>
        <v/>
      </c>
    </row>
    <row r="30">
      <c r="A30">
        <f>IF(18&lt;=$B7,18,"")</f>
        <v/>
      </c>
      <c r="B30" s="22">
        <f>IF(18&lt;$B7,$B5,IF(18=$B7,$B5+$B10,0))</f>
        <v/>
      </c>
      <c r="C30" s="22">
        <f>IF(18&lt;=$B7,B30/(1+$B9)^18,0)</f>
        <v/>
      </c>
      <c r="D30" s="22">
        <f>IF(18&lt;=$B7,B30/(1+$B8)^18,0)</f>
        <v/>
      </c>
      <c r="E30">
        <f>B30</f>
        <v/>
      </c>
    </row>
    <row r="31">
      <c r="A31">
        <f>IF(19&lt;=$B7,19,"")</f>
        <v/>
      </c>
      <c r="B31" s="22">
        <f>IF(19&lt;$B7,$B5,IF(19=$B7,$B5+$B10,0))</f>
        <v/>
      </c>
      <c r="C31" s="22">
        <f>IF(19&lt;=$B7,B31/(1+$B9)^19,0)</f>
        <v/>
      </c>
      <c r="D31" s="22">
        <f>IF(19&lt;=$B7,B31/(1+$B8)^19,0)</f>
        <v/>
      </c>
      <c r="E31">
        <f>B31</f>
        <v/>
      </c>
    </row>
    <row r="32">
      <c r="A32">
        <f>IF(20&lt;=$B7,20,"")</f>
        <v/>
      </c>
      <c r="B32" s="22">
        <f>IF(20&lt;$B7,$B5,IF(20=$B7,$B5+$B10,0))</f>
        <v/>
      </c>
      <c r="C32" s="22">
        <f>IF(20&lt;=$B7,B32/(1+$B9)^20,0)</f>
        <v/>
      </c>
      <c r="D32" s="22">
        <f>IF(20&lt;=$B7,B32/(1+$B8)^20,0)</f>
        <v/>
      </c>
      <c r="E32">
        <f>B32</f>
        <v/>
      </c>
    </row>
    <row r="33">
      <c r="A33">
        <f>IF(21&lt;=$B7,21,"")</f>
        <v/>
      </c>
      <c r="B33" s="22">
        <f>IF(21&lt;$B7,$B5,IF(21=$B7,$B5+$B10,0))</f>
        <v/>
      </c>
      <c r="C33" s="22">
        <f>IF(21&lt;=$B7,B33/(1+$B9)^21,0)</f>
        <v/>
      </c>
      <c r="D33" s="22">
        <f>IF(21&lt;=$B7,B33/(1+$B8)^21,0)</f>
        <v/>
      </c>
      <c r="E33">
        <f>B33</f>
        <v/>
      </c>
    </row>
    <row r="34">
      <c r="A34">
        <f>IF(22&lt;=$B7,22,"")</f>
        <v/>
      </c>
      <c r="B34" s="22">
        <f>IF(22&lt;$B7,$B5,IF(22=$B7,$B5+$B10,0))</f>
        <v/>
      </c>
      <c r="C34" s="22">
        <f>IF(22&lt;=$B7,B34/(1+$B9)^22,0)</f>
        <v/>
      </c>
      <c r="D34" s="22">
        <f>IF(22&lt;=$B7,B34/(1+$B8)^22,0)</f>
        <v/>
      </c>
      <c r="E34">
        <f>B34</f>
        <v/>
      </c>
    </row>
    <row r="35">
      <c r="A35">
        <f>IF(23&lt;=$B7,23,"")</f>
        <v/>
      </c>
      <c r="B35" s="22">
        <f>IF(23&lt;$B7,$B5,IF(23=$B7,$B5+$B10,0))</f>
        <v/>
      </c>
      <c r="C35" s="22">
        <f>IF(23&lt;=$B7,B35/(1+$B9)^23,0)</f>
        <v/>
      </c>
      <c r="D35" s="22">
        <f>IF(23&lt;=$B7,B35/(1+$B8)^23,0)</f>
        <v/>
      </c>
      <c r="E35">
        <f>B35</f>
        <v/>
      </c>
    </row>
    <row r="36">
      <c r="A36">
        <f>IF(24&lt;=$B7,24,"")</f>
        <v/>
      </c>
      <c r="B36" s="22">
        <f>IF(24&lt;$B7,$B5,IF(24=$B7,$B5+$B10,0))</f>
        <v/>
      </c>
      <c r="C36" s="22">
        <f>IF(24&lt;=$B7,B36/(1+$B9)^24,0)</f>
        <v/>
      </c>
      <c r="D36" s="22">
        <f>IF(24&lt;=$B7,B36/(1+$B8)^24,0)</f>
        <v/>
      </c>
      <c r="E36">
        <f>B36</f>
        <v/>
      </c>
    </row>
    <row r="37">
      <c r="A37">
        <f>IF(25&lt;=$B7,25,"")</f>
        <v/>
      </c>
      <c r="B37" s="22">
        <f>IF(25&lt;$B7,$B5,IF(25=$B7,$B5+$B10,0))</f>
        <v/>
      </c>
      <c r="C37" s="22">
        <f>IF(25&lt;=$B7,B37/(1+$B9)^25,0)</f>
        <v/>
      </c>
      <c r="D37" s="22">
        <f>IF(25&lt;=$B7,B37/(1+$B8)^25,0)</f>
        <v/>
      </c>
      <c r="E37">
        <f>B37</f>
        <v/>
      </c>
    </row>
    <row r="38">
      <c r="A38">
        <f>IF(26&lt;=$B7,26,"")</f>
        <v/>
      </c>
      <c r="B38" s="22">
        <f>IF(26&lt;$B7,$B5,IF(26=$B7,$B5+$B10,0))</f>
        <v/>
      </c>
      <c r="C38" s="22">
        <f>IF(26&lt;=$B7,B38/(1+$B9)^26,0)</f>
        <v/>
      </c>
      <c r="D38" s="22">
        <f>IF(26&lt;=$B7,B38/(1+$B8)^26,0)</f>
        <v/>
      </c>
      <c r="E38">
        <f>B38</f>
        <v/>
      </c>
    </row>
    <row r="39">
      <c r="A39">
        <f>IF(27&lt;=$B7,27,"")</f>
        <v/>
      </c>
      <c r="B39" s="22">
        <f>IF(27&lt;$B7,$B5,IF(27=$B7,$B5+$B10,0))</f>
        <v/>
      </c>
      <c r="C39" s="22">
        <f>IF(27&lt;=$B7,B39/(1+$B9)^27,0)</f>
        <v/>
      </c>
      <c r="D39" s="22">
        <f>IF(27&lt;=$B7,B39/(1+$B8)^27,0)</f>
        <v/>
      </c>
      <c r="E39">
        <f>B39</f>
        <v/>
      </c>
    </row>
    <row r="40">
      <c r="A40">
        <f>IF(28&lt;=$B7,28,"")</f>
        <v/>
      </c>
      <c r="B40" s="22">
        <f>IF(28&lt;$B7,$B5,IF(28=$B7,$B5+$B10,0))</f>
        <v/>
      </c>
      <c r="C40" s="22">
        <f>IF(28&lt;=$B7,B40/(1+$B9)^28,0)</f>
        <v/>
      </c>
      <c r="D40" s="22">
        <f>IF(28&lt;=$B7,B40/(1+$B8)^28,0)</f>
        <v/>
      </c>
      <c r="E40">
        <f>B40</f>
        <v/>
      </c>
    </row>
    <row r="41">
      <c r="A41">
        <f>IF(29&lt;=$B7,29,"")</f>
        <v/>
      </c>
      <c r="B41" s="22">
        <f>IF(29&lt;$B7,$B5,IF(29=$B7,$B5+$B10,0))</f>
        <v/>
      </c>
      <c r="C41" s="22">
        <f>IF(29&lt;=$B7,B41/(1+$B9)^29,0)</f>
        <v/>
      </c>
      <c r="D41" s="22">
        <f>IF(29&lt;=$B7,B41/(1+$B8)^29,0)</f>
        <v/>
      </c>
      <c r="E41">
        <f>B41</f>
        <v/>
      </c>
    </row>
    <row r="42">
      <c r="A42">
        <f>IF(30&lt;=$B7,30,"")</f>
        <v/>
      </c>
      <c r="B42" s="22">
        <f>IF(30&lt;$B7,$B5,IF(30=$B7,$B5+$B10,0))</f>
        <v/>
      </c>
      <c r="C42" s="22">
        <f>IF(30&lt;=$B7,B42/(1+$B9)^30,0)</f>
        <v/>
      </c>
      <c r="D42" s="22">
        <f>IF(30&lt;=$B7,B42/(1+$B8)^30,0)</f>
        <v/>
      </c>
      <c r="E42">
        <f>B42</f>
        <v/>
      </c>
    </row>
    <row r="43">
      <c r="A43">
        <f>IF(31&lt;=$B7,31,"")</f>
        <v/>
      </c>
      <c r="B43" s="22">
        <f>IF(31&lt;$B7,$B5,IF(31=$B7,$B5+$B10,0))</f>
        <v/>
      </c>
      <c r="C43" s="22">
        <f>IF(31&lt;=$B7,B43/(1+$B9)^31,0)</f>
        <v/>
      </c>
      <c r="D43" s="22">
        <f>IF(31&lt;=$B7,B43/(1+$B8)^31,0)</f>
        <v/>
      </c>
      <c r="E43">
        <f>B43</f>
        <v/>
      </c>
    </row>
    <row r="44">
      <c r="A44">
        <f>IF(32&lt;=$B7,32,"")</f>
        <v/>
      </c>
      <c r="B44" s="22">
        <f>IF(32&lt;$B7,$B5,IF(32=$B7,$B5+$B10,0))</f>
        <v/>
      </c>
      <c r="C44" s="22">
        <f>IF(32&lt;=$B7,B44/(1+$B9)^32,0)</f>
        <v/>
      </c>
      <c r="D44" s="22">
        <f>IF(32&lt;=$B7,B44/(1+$B8)^32,0)</f>
        <v/>
      </c>
      <c r="E44">
        <f>B44</f>
        <v/>
      </c>
    </row>
    <row r="45">
      <c r="A45">
        <f>IF(33&lt;=$B7,33,"")</f>
        <v/>
      </c>
      <c r="B45" s="22">
        <f>IF(33&lt;$B7,$B5,IF(33=$B7,$B5+$B10,0))</f>
        <v/>
      </c>
      <c r="C45" s="22">
        <f>IF(33&lt;=$B7,B45/(1+$B9)^33,0)</f>
        <v/>
      </c>
      <c r="D45" s="22">
        <f>IF(33&lt;=$B7,B45/(1+$B8)^33,0)</f>
        <v/>
      </c>
      <c r="E45">
        <f>B45</f>
        <v/>
      </c>
    </row>
    <row r="46">
      <c r="A46">
        <f>IF(34&lt;=$B7,34,"")</f>
        <v/>
      </c>
      <c r="B46" s="22">
        <f>IF(34&lt;$B7,$B5,IF(34=$B7,$B5+$B10,0))</f>
        <v/>
      </c>
      <c r="C46" s="22">
        <f>IF(34&lt;=$B7,B46/(1+$B9)^34,0)</f>
        <v/>
      </c>
      <c r="D46" s="22">
        <f>IF(34&lt;=$B7,B46/(1+$B8)^34,0)</f>
        <v/>
      </c>
      <c r="E46">
        <f>B46</f>
        <v/>
      </c>
    </row>
    <row r="47">
      <c r="A47">
        <f>IF(35&lt;=$B7,35,"")</f>
        <v/>
      </c>
      <c r="B47" s="22">
        <f>IF(35&lt;$B7,$B5,IF(35=$B7,$B5+$B10,0))</f>
        <v/>
      </c>
      <c r="C47" s="22">
        <f>IF(35&lt;=$B7,B47/(1+$B9)^35,0)</f>
        <v/>
      </c>
      <c r="D47" s="22">
        <f>IF(35&lt;=$B7,B47/(1+$B8)^35,0)</f>
        <v/>
      </c>
      <c r="E47">
        <f>B47</f>
        <v/>
      </c>
    </row>
    <row r="48">
      <c r="A48">
        <f>IF(36&lt;=$B7,36,"")</f>
        <v/>
      </c>
      <c r="B48" s="22">
        <f>IF(36&lt;$B7,$B5,IF(36=$B7,$B5+$B10,0))</f>
        <v/>
      </c>
      <c r="C48" s="22">
        <f>IF(36&lt;=$B7,B48/(1+$B9)^36,0)</f>
        <v/>
      </c>
      <c r="D48" s="22">
        <f>IF(36&lt;=$B7,B48/(1+$B8)^36,0)</f>
        <v/>
      </c>
      <c r="E48">
        <f>B48</f>
        <v/>
      </c>
    </row>
    <row r="49">
      <c r="A49">
        <f>IF(37&lt;=$B7,37,"")</f>
        <v/>
      </c>
      <c r="B49" s="22">
        <f>IF(37&lt;$B7,$B5,IF(37=$B7,$B5+$B10,0))</f>
        <v/>
      </c>
      <c r="C49" s="22">
        <f>IF(37&lt;=$B7,B49/(1+$B9)^37,0)</f>
        <v/>
      </c>
      <c r="D49" s="22">
        <f>IF(37&lt;=$B7,B49/(1+$B8)^37,0)</f>
        <v/>
      </c>
      <c r="E49">
        <f>B49</f>
        <v/>
      </c>
    </row>
    <row r="50">
      <c r="A50">
        <f>IF(38&lt;=$B7,38,"")</f>
        <v/>
      </c>
      <c r="B50" s="22">
        <f>IF(38&lt;$B7,$B5,IF(38=$B7,$B5+$B10,0))</f>
        <v/>
      </c>
      <c r="C50" s="22">
        <f>IF(38&lt;=$B7,B50/(1+$B9)^38,0)</f>
        <v/>
      </c>
      <c r="D50" s="22">
        <f>IF(38&lt;=$B7,B50/(1+$B8)^38,0)</f>
        <v/>
      </c>
      <c r="E50">
        <f>B50</f>
        <v/>
      </c>
    </row>
    <row r="51">
      <c r="A51">
        <f>IF(39&lt;=$B7,39,"")</f>
        <v/>
      </c>
      <c r="B51" s="22">
        <f>IF(39&lt;$B7,$B5,IF(39=$B7,$B5+$B10,0))</f>
        <v/>
      </c>
      <c r="C51" s="22">
        <f>IF(39&lt;=$B7,B51/(1+$B9)^39,0)</f>
        <v/>
      </c>
      <c r="D51" s="22">
        <f>IF(39&lt;=$B7,B51/(1+$B8)^39,0)</f>
        <v/>
      </c>
      <c r="E51">
        <f>B51</f>
        <v/>
      </c>
    </row>
    <row r="52">
      <c r="A52">
        <f>IF(40&lt;=$B7,40,"")</f>
        <v/>
      </c>
      <c r="B52" s="22">
        <f>IF(40&lt;$B7,$B5,IF(40=$B7,$B5+$B10,0))</f>
        <v/>
      </c>
      <c r="C52" s="22">
        <f>IF(40&lt;=$B7,B52/(1+$B9)^40,0)</f>
        <v/>
      </c>
      <c r="D52" s="22">
        <f>IF(40&lt;=$B7,B52/(1+$B8)^40,0)</f>
        <v/>
      </c>
      <c r="E52">
        <f>B52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5" t="inlineStr">
        <is>
          <t>BESS Revenue Stack</t>
        </is>
      </c>
    </row>
    <row r="2">
      <c r="A2" s="6" t="inlineStr">
        <is>
          <t>Stacked annual revenue of a grid battery  ·  Newman Energy Academy</t>
        </is>
      </c>
    </row>
    <row r="4">
      <c r="A4" s="7" t="inlineStr">
        <is>
          <t>Inputs</t>
        </is>
      </c>
      <c r="B4" s="8" t="n"/>
      <c r="C4" s="8" t="n"/>
      <c r="E4" s="9" t="inlineStr">
        <is>
          <t>Results</t>
        </is>
      </c>
      <c r="F4" s="8" t="n"/>
      <c r="G4" s="8" t="n"/>
    </row>
    <row r="5">
      <c r="A5" s="3" t="inlineStr">
        <is>
          <t>Power</t>
        </is>
      </c>
      <c r="B5" s="27" t="n">
        <v>5</v>
      </c>
      <c r="C5" s="11" t="inlineStr">
        <is>
          <t>MW</t>
        </is>
      </c>
      <c r="E5" s="4" t="inlineStr">
        <is>
          <t>Total revenue / year</t>
        </is>
      </c>
      <c r="F5" s="23">
        <f>($B5*$B6)*$B7*$B8*$B12+$B5*$B9+$B5*$B10</f>
        <v/>
      </c>
    </row>
    <row r="6">
      <c r="A6" s="3" t="inlineStr">
        <is>
          <t>Duration</t>
        </is>
      </c>
      <c r="B6" s="27" t="n">
        <v>2</v>
      </c>
      <c r="C6" s="11" t="inlineStr">
        <is>
          <t>hours</t>
        </is>
      </c>
      <c r="E6" s="3" t="inlineStr">
        <is>
          <t>Arbitrage</t>
        </is>
      </c>
      <c r="F6" s="24">
        <f>($B5*$B6)*$B7*$B8*$B12</f>
        <v/>
      </c>
    </row>
    <row r="7">
      <c r="A7" s="3" t="inlineStr">
        <is>
          <t>Cycles / year</t>
        </is>
      </c>
      <c r="B7" s="14" t="n">
        <v>365</v>
      </c>
      <c r="E7" s="3" t="inlineStr">
        <is>
          <t>Capacity</t>
        </is>
      </c>
      <c r="F7" s="24">
        <f>$B5*$B9</f>
        <v/>
      </c>
    </row>
    <row r="8">
      <c r="A8" s="3" t="inlineStr">
        <is>
          <t>Arbitrage spread</t>
        </is>
      </c>
      <c r="B8" s="10" t="n">
        <v>60</v>
      </c>
      <c r="C8" s="11" t="inlineStr">
        <is>
          <t>EUR / MWh</t>
        </is>
      </c>
      <c r="E8" s="3" t="inlineStr">
        <is>
          <t>Ancillary</t>
        </is>
      </c>
      <c r="F8" s="24">
        <f>$B5*$B10</f>
        <v/>
      </c>
    </row>
    <row r="9">
      <c r="A9" s="3" t="inlineStr">
        <is>
          <t>Capacity payment</t>
        </is>
      </c>
      <c r="B9" s="10" t="n">
        <v>30000</v>
      </c>
      <c r="C9" s="11" t="inlineStr">
        <is>
          <t>EUR / MW / yr</t>
        </is>
      </c>
      <c r="E9" s="3" t="inlineStr">
        <is>
          <t>Usable energy</t>
        </is>
      </c>
      <c r="F9" s="28">
        <f>($B5*$B6)</f>
        <v/>
      </c>
      <c r="G9" s="11" t="inlineStr">
        <is>
          <t>MWh</t>
        </is>
      </c>
    </row>
    <row r="10">
      <c r="A10" s="3" t="inlineStr">
        <is>
          <t>Ancillary (FCR)</t>
        </is>
      </c>
      <c r="B10" s="10" t="n">
        <v>15000</v>
      </c>
      <c r="C10" s="11" t="inlineStr">
        <is>
          <t>EUR / MW / yr</t>
        </is>
      </c>
      <c r="E10" s="3" t="inlineStr">
        <is>
          <t>Capex (total)</t>
        </is>
      </c>
      <c r="F10" s="24">
        <f>($B5*$B6)*1000*$B11</f>
        <v/>
      </c>
    </row>
    <row r="11">
      <c r="A11" s="3" t="inlineStr">
        <is>
          <t>Capex</t>
        </is>
      </c>
      <c r="B11" s="10" t="n">
        <v>350</v>
      </c>
      <c r="C11" s="11" t="inlineStr">
        <is>
          <t>EUR / kWh</t>
        </is>
      </c>
      <c r="E11" s="3" t="inlineStr">
        <is>
          <t>Simple payback</t>
        </is>
      </c>
      <c r="F11" s="29">
        <f>IFERROR(F10/F5,"-")</f>
        <v/>
      </c>
    </row>
    <row r="12">
      <c r="A12" s="3" t="inlineStr">
        <is>
          <t>Round-trip efficiency</t>
        </is>
      </c>
      <c r="B12" s="18" t="n">
        <v>0.86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5" t="inlineStr">
        <is>
          <t>Developer Project Finance</t>
        </is>
      </c>
    </row>
    <row r="2">
      <c r="A2" s="6" t="inlineStr">
        <is>
          <t>Gearing, DSCR &amp; levered equity IRR  ·  Newman Energy Academy</t>
        </is>
      </c>
    </row>
    <row r="4">
      <c r="A4" s="7" t="inlineStr">
        <is>
          <t>Inputs</t>
        </is>
      </c>
      <c r="B4" s="8" t="n"/>
      <c r="C4" s="8" t="n"/>
      <c r="E4" s="9" t="inlineStr">
        <is>
          <t>Results</t>
        </is>
      </c>
      <c r="F4" s="8" t="n"/>
      <c r="G4" s="8" t="n"/>
    </row>
    <row r="5">
      <c r="A5" s="3" t="inlineStr">
        <is>
          <t>Capex</t>
        </is>
      </c>
      <c r="B5" s="10" t="n">
        <v>3000000</v>
      </c>
      <c r="C5" s="11" t="inlineStr">
        <is>
          <t>EUR</t>
        </is>
      </c>
      <c r="E5" s="4" t="inlineStr">
        <is>
          <t>Equity IRR (levered)</t>
        </is>
      </c>
      <c r="F5" s="30">
        <f>IFERROR(IRR(J12:J47),0)</f>
        <v/>
      </c>
    </row>
    <row r="6">
      <c r="A6" s="3" t="inlineStr">
        <is>
          <t>Annual net cash flow (CFADS)</t>
        </is>
      </c>
      <c r="B6" s="10" t="n">
        <v>350000</v>
      </c>
      <c r="C6" s="11" t="inlineStr">
        <is>
          <t>EUR / yr</t>
        </is>
      </c>
      <c r="E6" s="3" t="inlineStr">
        <is>
          <t>Project IRR (unlevered)</t>
        </is>
      </c>
      <c r="F6" s="15">
        <f>IFERROR(IRR(I12:I47),0)</f>
        <v/>
      </c>
    </row>
    <row r="7">
      <c r="A7" s="3" t="inlineStr">
        <is>
          <t>Debt share (gearing)</t>
        </is>
      </c>
      <c r="B7" s="18" t="n">
        <v>0.7</v>
      </c>
      <c r="E7" s="3" t="inlineStr">
        <is>
          <t>DSCR (year 1)</t>
        </is>
      </c>
      <c r="F7" s="26">
        <f>$B$6/$F$9</f>
        <v/>
      </c>
    </row>
    <row r="8">
      <c r="A8" s="3" t="inlineStr">
        <is>
          <t>Loan interest rate</t>
        </is>
      </c>
      <c r="B8" s="18" t="n">
        <v>0.05</v>
      </c>
      <c r="E8" s="3" t="inlineStr">
        <is>
          <t>Equity required</t>
        </is>
      </c>
      <c r="F8" s="24">
        <f>$B$5*(1-$B$7)</f>
        <v/>
      </c>
    </row>
    <row r="9">
      <c r="A9" s="3" t="inlineStr">
        <is>
          <t>Loan tenor</t>
        </is>
      </c>
      <c r="B9" s="16" t="n">
        <v>15</v>
      </c>
      <c r="C9" s="11" t="inlineStr">
        <is>
          <t>years</t>
        </is>
      </c>
      <c r="E9" s="3" t="inlineStr">
        <is>
          <t>Annual debt service</t>
        </is>
      </c>
      <c r="F9" s="24">
        <f>$B$5*$B$7*$B$8/(1-(1+$B$8)^-$B$9)</f>
        <v/>
      </c>
    </row>
    <row r="10">
      <c r="A10" s="3" t="inlineStr">
        <is>
          <t>Asset life</t>
        </is>
      </c>
      <c r="B10" s="16" t="n">
        <v>25</v>
      </c>
      <c r="C10" s="11" t="inlineStr">
        <is>
          <t>years</t>
        </is>
      </c>
      <c r="E10" s="3" t="inlineStr">
        <is>
          <t>Equity payback (approx)</t>
        </is>
      </c>
      <c r="F10" s="29">
        <f>IF(($B$6-$F$9)&gt;0,$F$8/($B$6-$F$9),"-")</f>
        <v/>
      </c>
    </row>
    <row r="11">
      <c r="H11" s="31" t="inlineStr">
        <is>
          <t>yr</t>
        </is>
      </c>
      <c r="I11" s="31" t="inlineStr">
        <is>
          <t>proj CF</t>
        </is>
      </c>
      <c r="J11" s="31" t="inlineStr">
        <is>
          <t>equity CF</t>
        </is>
      </c>
    </row>
    <row r="12">
      <c r="E12" s="19" t="inlineStr">
        <is>
          <t>Inputs are blue; results recalc. Debt sized at level annual service.</t>
        </is>
      </c>
      <c r="H12" t="n">
        <v>0</v>
      </c>
      <c r="I12" s="22">
        <f>-$B$5</f>
        <v/>
      </c>
      <c r="J12" s="22">
        <f>-$F$8</f>
        <v/>
      </c>
    </row>
    <row r="13">
      <c r="H13" t="n">
        <v>1</v>
      </c>
      <c r="I13" s="22">
        <f>IF(1&lt;=$B$10,$B$6,0)</f>
        <v/>
      </c>
      <c r="J13" s="22">
        <f>IF(1&lt;=$B$10,IF(1&lt;=$B$9,$B$6-$F$9,$B$6),0)</f>
        <v/>
      </c>
    </row>
    <row r="14">
      <c r="H14" t="n">
        <v>2</v>
      </c>
      <c r="I14" s="22">
        <f>IF(2&lt;=$B$10,$B$6,0)</f>
        <v/>
      </c>
      <c r="J14" s="22">
        <f>IF(2&lt;=$B$10,IF(2&lt;=$B$9,$B$6-$F$9,$B$6),0)</f>
        <v/>
      </c>
    </row>
    <row r="15">
      <c r="H15" t="n">
        <v>3</v>
      </c>
      <c r="I15" s="22">
        <f>IF(3&lt;=$B$10,$B$6,0)</f>
        <v/>
      </c>
      <c r="J15" s="22">
        <f>IF(3&lt;=$B$10,IF(3&lt;=$B$9,$B$6-$F$9,$B$6),0)</f>
        <v/>
      </c>
    </row>
    <row r="16">
      <c r="H16" t="n">
        <v>4</v>
      </c>
      <c r="I16" s="22">
        <f>IF(4&lt;=$B$10,$B$6,0)</f>
        <v/>
      </c>
      <c r="J16" s="22">
        <f>IF(4&lt;=$B$10,IF(4&lt;=$B$9,$B$6-$F$9,$B$6),0)</f>
        <v/>
      </c>
    </row>
    <row r="17">
      <c r="H17" t="n">
        <v>5</v>
      </c>
      <c r="I17" s="22">
        <f>IF(5&lt;=$B$10,$B$6,0)</f>
        <v/>
      </c>
      <c r="J17" s="22">
        <f>IF(5&lt;=$B$10,IF(5&lt;=$B$9,$B$6-$F$9,$B$6),0)</f>
        <v/>
      </c>
    </row>
    <row r="18">
      <c r="H18" t="n">
        <v>6</v>
      </c>
      <c r="I18" s="22">
        <f>IF(6&lt;=$B$10,$B$6,0)</f>
        <v/>
      </c>
      <c r="J18" s="22">
        <f>IF(6&lt;=$B$10,IF(6&lt;=$B$9,$B$6-$F$9,$B$6),0)</f>
        <v/>
      </c>
    </row>
    <row r="19">
      <c r="H19" t="n">
        <v>7</v>
      </c>
      <c r="I19" s="22">
        <f>IF(7&lt;=$B$10,$B$6,0)</f>
        <v/>
      </c>
      <c r="J19" s="22">
        <f>IF(7&lt;=$B$10,IF(7&lt;=$B$9,$B$6-$F$9,$B$6),0)</f>
        <v/>
      </c>
    </row>
    <row r="20">
      <c r="H20" t="n">
        <v>8</v>
      </c>
      <c r="I20" s="22">
        <f>IF(8&lt;=$B$10,$B$6,0)</f>
        <v/>
      </c>
      <c r="J20" s="22">
        <f>IF(8&lt;=$B$10,IF(8&lt;=$B$9,$B$6-$F$9,$B$6),0)</f>
        <v/>
      </c>
    </row>
    <row r="21">
      <c r="H21" t="n">
        <v>9</v>
      </c>
      <c r="I21" s="22">
        <f>IF(9&lt;=$B$10,$B$6,0)</f>
        <v/>
      </c>
      <c r="J21" s="22">
        <f>IF(9&lt;=$B$10,IF(9&lt;=$B$9,$B$6-$F$9,$B$6),0)</f>
        <v/>
      </c>
    </row>
    <row r="22">
      <c r="H22" t="n">
        <v>10</v>
      </c>
      <c r="I22" s="22">
        <f>IF(10&lt;=$B$10,$B$6,0)</f>
        <v/>
      </c>
      <c r="J22" s="22">
        <f>IF(10&lt;=$B$10,IF(10&lt;=$B$9,$B$6-$F$9,$B$6),0)</f>
        <v/>
      </c>
    </row>
    <row r="23">
      <c r="H23" t="n">
        <v>11</v>
      </c>
      <c r="I23" s="22">
        <f>IF(11&lt;=$B$10,$B$6,0)</f>
        <v/>
      </c>
      <c r="J23" s="22">
        <f>IF(11&lt;=$B$10,IF(11&lt;=$B$9,$B$6-$F$9,$B$6),0)</f>
        <v/>
      </c>
    </row>
    <row r="24">
      <c r="H24" t="n">
        <v>12</v>
      </c>
      <c r="I24" s="22">
        <f>IF(12&lt;=$B$10,$B$6,0)</f>
        <v/>
      </c>
      <c r="J24" s="22">
        <f>IF(12&lt;=$B$10,IF(12&lt;=$B$9,$B$6-$F$9,$B$6),0)</f>
        <v/>
      </c>
    </row>
    <row r="25">
      <c r="H25" t="n">
        <v>13</v>
      </c>
      <c r="I25" s="22">
        <f>IF(13&lt;=$B$10,$B$6,0)</f>
        <v/>
      </c>
      <c r="J25" s="22">
        <f>IF(13&lt;=$B$10,IF(13&lt;=$B$9,$B$6-$F$9,$B$6),0)</f>
        <v/>
      </c>
    </row>
    <row r="26">
      <c r="H26" t="n">
        <v>14</v>
      </c>
      <c r="I26" s="22">
        <f>IF(14&lt;=$B$10,$B$6,0)</f>
        <v/>
      </c>
      <c r="J26" s="22">
        <f>IF(14&lt;=$B$10,IF(14&lt;=$B$9,$B$6-$F$9,$B$6),0)</f>
        <v/>
      </c>
    </row>
    <row r="27">
      <c r="H27" t="n">
        <v>15</v>
      </c>
      <c r="I27" s="22">
        <f>IF(15&lt;=$B$10,$B$6,0)</f>
        <v/>
      </c>
      <c r="J27" s="22">
        <f>IF(15&lt;=$B$10,IF(15&lt;=$B$9,$B$6-$F$9,$B$6),0)</f>
        <v/>
      </c>
    </row>
    <row r="28">
      <c r="H28" t="n">
        <v>16</v>
      </c>
      <c r="I28" s="22">
        <f>IF(16&lt;=$B$10,$B$6,0)</f>
        <v/>
      </c>
      <c r="J28" s="22">
        <f>IF(16&lt;=$B$10,IF(16&lt;=$B$9,$B$6-$F$9,$B$6),0)</f>
        <v/>
      </c>
    </row>
    <row r="29">
      <c r="H29" t="n">
        <v>17</v>
      </c>
      <c r="I29" s="22">
        <f>IF(17&lt;=$B$10,$B$6,0)</f>
        <v/>
      </c>
      <c r="J29" s="22">
        <f>IF(17&lt;=$B$10,IF(17&lt;=$B$9,$B$6-$F$9,$B$6),0)</f>
        <v/>
      </c>
    </row>
    <row r="30">
      <c r="H30" t="n">
        <v>18</v>
      </c>
      <c r="I30" s="22">
        <f>IF(18&lt;=$B$10,$B$6,0)</f>
        <v/>
      </c>
      <c r="J30" s="22">
        <f>IF(18&lt;=$B$10,IF(18&lt;=$B$9,$B$6-$F$9,$B$6),0)</f>
        <v/>
      </c>
    </row>
    <row r="31">
      <c r="H31" t="n">
        <v>19</v>
      </c>
      <c r="I31" s="22">
        <f>IF(19&lt;=$B$10,$B$6,0)</f>
        <v/>
      </c>
      <c r="J31" s="22">
        <f>IF(19&lt;=$B$10,IF(19&lt;=$B$9,$B$6-$F$9,$B$6),0)</f>
        <v/>
      </c>
    </row>
    <row r="32">
      <c r="H32" t="n">
        <v>20</v>
      </c>
      <c r="I32" s="22">
        <f>IF(20&lt;=$B$10,$B$6,0)</f>
        <v/>
      </c>
      <c r="J32" s="22">
        <f>IF(20&lt;=$B$10,IF(20&lt;=$B$9,$B$6-$F$9,$B$6),0)</f>
        <v/>
      </c>
    </row>
    <row r="33">
      <c r="H33" t="n">
        <v>21</v>
      </c>
      <c r="I33" s="22">
        <f>IF(21&lt;=$B$10,$B$6,0)</f>
        <v/>
      </c>
      <c r="J33" s="22">
        <f>IF(21&lt;=$B$10,IF(21&lt;=$B$9,$B$6-$F$9,$B$6),0)</f>
        <v/>
      </c>
    </row>
    <row r="34">
      <c r="H34" t="n">
        <v>22</v>
      </c>
      <c r="I34" s="22">
        <f>IF(22&lt;=$B$10,$B$6,0)</f>
        <v/>
      </c>
      <c r="J34" s="22">
        <f>IF(22&lt;=$B$10,IF(22&lt;=$B$9,$B$6-$F$9,$B$6),0)</f>
        <v/>
      </c>
    </row>
    <row r="35">
      <c r="H35" t="n">
        <v>23</v>
      </c>
      <c r="I35" s="22">
        <f>IF(23&lt;=$B$10,$B$6,0)</f>
        <v/>
      </c>
      <c r="J35" s="22">
        <f>IF(23&lt;=$B$10,IF(23&lt;=$B$9,$B$6-$F$9,$B$6),0)</f>
        <v/>
      </c>
    </row>
    <row r="36">
      <c r="H36" t="n">
        <v>24</v>
      </c>
      <c r="I36" s="22">
        <f>IF(24&lt;=$B$10,$B$6,0)</f>
        <v/>
      </c>
      <c r="J36" s="22">
        <f>IF(24&lt;=$B$10,IF(24&lt;=$B$9,$B$6-$F$9,$B$6),0)</f>
        <v/>
      </c>
    </row>
    <row r="37">
      <c r="H37" t="n">
        <v>25</v>
      </c>
      <c r="I37" s="22">
        <f>IF(25&lt;=$B$10,$B$6,0)</f>
        <v/>
      </c>
      <c r="J37" s="22">
        <f>IF(25&lt;=$B$10,IF(25&lt;=$B$9,$B$6-$F$9,$B$6),0)</f>
        <v/>
      </c>
    </row>
    <row r="38">
      <c r="H38" t="n">
        <v>26</v>
      </c>
      <c r="I38" s="22">
        <f>IF(26&lt;=$B$10,$B$6,0)</f>
        <v/>
      </c>
      <c r="J38" s="22">
        <f>IF(26&lt;=$B$10,IF(26&lt;=$B$9,$B$6-$F$9,$B$6),0)</f>
        <v/>
      </c>
    </row>
    <row r="39">
      <c r="H39" t="n">
        <v>27</v>
      </c>
      <c r="I39" s="22">
        <f>IF(27&lt;=$B$10,$B$6,0)</f>
        <v/>
      </c>
      <c r="J39" s="22">
        <f>IF(27&lt;=$B$10,IF(27&lt;=$B$9,$B$6-$F$9,$B$6),0)</f>
        <v/>
      </c>
    </row>
    <row r="40">
      <c r="H40" t="n">
        <v>28</v>
      </c>
      <c r="I40" s="22">
        <f>IF(28&lt;=$B$10,$B$6,0)</f>
        <v/>
      </c>
      <c r="J40" s="22">
        <f>IF(28&lt;=$B$10,IF(28&lt;=$B$9,$B$6-$F$9,$B$6),0)</f>
        <v/>
      </c>
    </row>
    <row r="41">
      <c r="H41" t="n">
        <v>29</v>
      </c>
      <c r="I41" s="22">
        <f>IF(29&lt;=$B$10,$B$6,0)</f>
        <v/>
      </c>
      <c r="J41" s="22">
        <f>IF(29&lt;=$B$10,IF(29&lt;=$B$9,$B$6-$F$9,$B$6),0)</f>
        <v/>
      </c>
    </row>
    <row r="42">
      <c r="H42" t="n">
        <v>30</v>
      </c>
      <c r="I42" s="22">
        <f>IF(30&lt;=$B$10,$B$6,0)</f>
        <v/>
      </c>
      <c r="J42" s="22">
        <f>IF(30&lt;=$B$10,IF(30&lt;=$B$9,$B$6-$F$9,$B$6),0)</f>
        <v/>
      </c>
    </row>
    <row r="43">
      <c r="H43" t="n">
        <v>31</v>
      </c>
      <c r="I43" s="22">
        <f>IF(31&lt;=$B$10,$B$6,0)</f>
        <v/>
      </c>
      <c r="J43" s="22">
        <f>IF(31&lt;=$B$10,IF(31&lt;=$B$9,$B$6-$F$9,$B$6),0)</f>
        <v/>
      </c>
    </row>
    <row r="44">
      <c r="H44" t="n">
        <v>32</v>
      </c>
      <c r="I44" s="22">
        <f>IF(32&lt;=$B$10,$B$6,0)</f>
        <v/>
      </c>
      <c r="J44" s="22">
        <f>IF(32&lt;=$B$10,IF(32&lt;=$B$9,$B$6-$F$9,$B$6),0)</f>
        <v/>
      </c>
    </row>
    <row r="45">
      <c r="H45" t="n">
        <v>33</v>
      </c>
      <c r="I45" s="22">
        <f>IF(33&lt;=$B$10,$B$6,0)</f>
        <v/>
      </c>
      <c r="J45" s="22">
        <f>IF(33&lt;=$B$10,IF(33&lt;=$B$9,$B$6-$F$9,$B$6),0)</f>
        <v/>
      </c>
    </row>
    <row r="46">
      <c r="H46" t="n">
        <v>34</v>
      </c>
      <c r="I46" s="22">
        <f>IF(34&lt;=$B$10,$B$6,0)</f>
        <v/>
      </c>
      <c r="J46" s="22">
        <f>IF(34&lt;=$B$10,IF(34&lt;=$B$9,$B$6-$F$9,$B$6),0)</f>
        <v/>
      </c>
    </row>
    <row r="47">
      <c r="H47" t="n">
        <v>35</v>
      </c>
      <c r="I47" s="22">
        <f>IF(35&lt;=$B$10,$B$6,0)</f>
        <v/>
      </c>
      <c r="J47" s="22">
        <f>IF(35&lt;=$B$10,IF(35&lt;=$B$9,$B$6-$F$9,$B$6),0)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2026-06-29T11:03:36Z</dcterms:created>
  <dcterms:modified xmlns:dcterms="http://purl.org/dc/terms/" xmlns:xsi="http://www.w3.org/2001/XMLSchema-instance" xsi:type="dcterms:W3CDTF">2026-06-29T11:03:36Z</dcterms:modified>
</cp:coreProperties>
</file>