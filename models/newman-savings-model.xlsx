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91B4D"/>
      <sz val="18"/>
    </font>
    <font>
      <color rgb="005F5870"/>
      <sz val="10"/>
    </font>
    <font>
      <b val="1"/>
      <color rgb="00FFFFFF"/>
      <sz val="11"/>
    </font>
    <font>
      <color rgb="00221A33"/>
      <sz val="11"/>
    </font>
    <font>
      <b val="1"/>
      <color rgb="00621558"/>
      <sz val="11"/>
    </font>
    <font>
      <i val="1"/>
      <color rgb="005F5870"/>
      <sz val="10"/>
    </font>
    <font>
      <b val="1"/>
      <color rgb="00191B4D"/>
      <sz val="11"/>
    </font>
    <font>
      <b val="1"/>
      <color rgb="00191B4D"/>
      <sz val="13"/>
    </font>
  </fonts>
  <fills count="5">
    <fill>
      <patternFill/>
    </fill>
    <fill>
      <patternFill patternType="gray125"/>
    </fill>
    <fill>
      <patternFill patternType="solid">
        <fgColor rgb="00621558"/>
      </patternFill>
    </fill>
    <fill>
      <patternFill patternType="solid">
        <fgColor rgb="00F1E9F4"/>
      </patternFill>
    </fill>
    <fill>
      <patternFill patternType="solid">
        <fgColor rgb="00ECE7F3"/>
      </patternFill>
    </fill>
  </fills>
  <borders count="2">
    <border>
      <left/>
      <right/>
      <top/>
      <bottom/>
      <diagonal/>
    </border>
    <border>
      <left style="thin">
        <color rgb="00E4DEF1"/>
      </left>
      <right style="thin">
        <color rgb="00E4DEF1"/>
      </right>
      <top style="thin">
        <color rgb="00E4DEF1"/>
      </top>
      <bottom style="thin">
        <color rgb="00E4DEF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5" fillId="3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164" fontId="8" fillId="4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Customer Savings</t>
        </is>
      </c>
    </row>
    <row r="2">
      <c r="A2" s="2" t="inlineStr">
        <is>
          <t>Grid vs PPA cost on covered load  ·  Newman Energy Academy</t>
        </is>
      </c>
    </row>
    <row r="4">
      <c r="A4" s="3" t="inlineStr">
        <is>
          <t>Inputs</t>
        </is>
      </c>
      <c r="B4" s="4" t="n"/>
      <c r="C4" s="4" t="n"/>
      <c r="E4" s="5" t="inlineStr">
        <is>
          <t>Results</t>
        </is>
      </c>
      <c r="F4" s="4" t="n"/>
      <c r="G4" s="4" t="n"/>
    </row>
    <row r="5">
      <c r="A5" s="6" t="inlineStr">
        <is>
          <t>Annual consumption</t>
        </is>
      </c>
      <c r="B5" s="7" t="n">
        <v>5000</v>
      </c>
      <c r="C5" s="8" t="inlineStr">
        <is>
          <t>MWh / yr</t>
        </is>
      </c>
      <c r="E5" s="9" t="inlineStr">
        <is>
          <t>Saving / year</t>
        </is>
      </c>
      <c r="F5" s="10">
        <f>($B5*$B8)*($B6-$B7)</f>
        <v/>
      </c>
      <c r="G5" s="8" t="inlineStr">
        <is>
          <t>per year</t>
        </is>
      </c>
    </row>
    <row r="6">
      <c r="A6" s="6" t="inlineStr">
        <is>
          <t>Grid tariff</t>
        </is>
      </c>
      <c r="B6" s="11" t="n">
        <v>120</v>
      </c>
      <c r="C6" s="8" t="inlineStr">
        <is>
          <t>EUR / MWh</t>
        </is>
      </c>
      <c r="E6" s="6" t="inlineStr">
        <is>
          <t>% off covered bill</t>
        </is>
      </c>
      <c r="F6" s="12">
        <f>IF($B6=0,0,($B6-$B7)/$B6)</f>
        <v/>
      </c>
    </row>
    <row r="7">
      <c r="A7" s="6" t="inlineStr">
        <is>
          <t>PPA price</t>
        </is>
      </c>
      <c r="B7" s="11" t="n">
        <v>80</v>
      </c>
      <c r="C7" s="8" t="inlineStr">
        <is>
          <t>EUR / MWh</t>
        </is>
      </c>
      <c r="E7" s="6" t="inlineStr">
        <is>
          <t>10-year saving</t>
        </is>
      </c>
      <c r="F7" s="13">
        <f>($B5*$B8)*($B6-$B7)*10</f>
        <v/>
      </c>
    </row>
    <row r="8">
      <c r="A8" s="6" t="inlineStr">
        <is>
          <t>Share covered by PPA</t>
        </is>
      </c>
      <c r="B8" s="14" t="n">
        <v>0.6</v>
      </c>
      <c r="E8" s="6" t="inlineStr">
        <is>
          <t>Covered load</t>
        </is>
      </c>
      <c r="F8" s="15">
        <f>($B5*$B8)</f>
        <v/>
      </c>
      <c r="G8" s="8" t="inlineStr">
        <is>
          <t>MWh / yr</t>
        </is>
      </c>
    </row>
    <row r="9">
      <c r="E9" s="6" t="inlineStr">
        <is>
          <t>New PPA bill</t>
        </is>
      </c>
      <c r="F9" s="13">
        <f>($B5*$B8)*$B7</f>
        <v/>
      </c>
      <c r="G9" s="8" t="inlineStr">
        <is>
          <t>per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2026-06-29T11:03:36Z</dcterms:created>
  <dcterms:modified xmlns:dcterms="http://purl.org/dc/terms/" xmlns:xsi="http://www.w3.org/2001/XMLSchema-instance" xsi:type="dcterms:W3CDTF">2026-06-29T11:03:36Z</dcterms:modified>
</cp:coreProperties>
</file>