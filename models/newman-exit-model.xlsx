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%"/>
    <numFmt numFmtId="166" formatCode="0.00&quot;x&quot;"/>
  </numFmts>
  <fonts count="10">
    <font>
      <name val="Calibri"/>
      <family val="2"/>
      <color theme="1"/>
      <sz val="11"/>
      <scheme val="minor"/>
    </font>
    <font>
      <name val="Calibri"/>
      <b val="1"/>
      <color rgb="00191B4D"/>
      <sz val="18"/>
    </font>
    <font>
      <color rgb="005F5870"/>
      <sz val="10"/>
    </font>
    <font>
      <b val="1"/>
      <color rgb="00FFFFFF"/>
      <sz val="11"/>
    </font>
    <font>
      <color rgb="00221A33"/>
      <sz val="11"/>
    </font>
    <font>
      <b val="1"/>
      <color rgb="00621558"/>
      <sz val="11"/>
    </font>
    <font>
      <i val="1"/>
      <color rgb="005F5870"/>
      <sz val="10"/>
    </font>
    <font>
      <b val="1"/>
      <color rgb="005F5870"/>
    </font>
    <font>
      <b val="1"/>
      <color rgb="00191B4D"/>
      <sz val="11"/>
    </font>
    <font>
      <b val="1"/>
      <color rgb="00191B4D"/>
      <sz val="13"/>
    </font>
  </fonts>
  <fills count="5">
    <fill>
      <patternFill/>
    </fill>
    <fill>
      <patternFill patternType="gray125"/>
    </fill>
    <fill>
      <patternFill patternType="solid">
        <fgColor rgb="00621558"/>
      </patternFill>
    </fill>
    <fill>
      <patternFill patternType="solid">
        <fgColor rgb="00F1E9F4"/>
      </patternFill>
    </fill>
    <fill>
      <patternFill patternType="solid">
        <fgColor rgb="00ECE7F3"/>
      </patternFill>
    </fill>
  </fills>
  <borders count="2">
    <border>
      <left/>
      <right/>
      <top/>
      <bottom/>
      <diagonal/>
    </border>
    <border>
      <left style="thin">
        <color rgb="00E4DEF1"/>
      </left>
      <right style="thin">
        <color rgb="00E4DEF1"/>
      </right>
      <top style="thin">
        <color rgb="00E4DEF1"/>
      </top>
      <bottom style="thin">
        <color rgb="00E4DEF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164" fontId="9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7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NPV / DCF Exit Valuation</t>
        </is>
      </c>
    </row>
    <row r="2">
      <c r="A2" s="2" t="inlineStr">
        <is>
          <t>Sell an operating asset to a fund at a compressed yield  ·  Newman Energy Academy</t>
        </is>
      </c>
    </row>
    <row r="4">
      <c r="A4" s="3" t="inlineStr">
        <is>
          <t>Inputs</t>
        </is>
      </c>
      <c r="B4" s="4" t="n"/>
      <c r="C4" s="4" t="n"/>
      <c r="F4" s="5" t="inlineStr">
        <is>
          <t>Results</t>
        </is>
      </c>
      <c r="G4" s="4" t="n"/>
      <c r="H4" s="4" t="n"/>
    </row>
    <row r="5">
      <c r="A5" s="6" t="inlineStr">
        <is>
          <t>Net cash flow / year</t>
        </is>
      </c>
      <c r="B5" s="7" t="n">
        <v>350000</v>
      </c>
      <c r="C5" s="8" t="inlineStr">
        <is>
          <t>EUR / yr</t>
        </is>
      </c>
      <c r="F5" s="9" t="inlineStr">
        <is>
          <t>Sale price (NPV @ fund yield)</t>
        </is>
      </c>
      <c r="G5" s="10">
        <f>SUM(C13:C52)</f>
        <v/>
      </c>
    </row>
    <row r="6">
      <c r="A6" s="6" t="inlineStr">
        <is>
          <t>Build cost (capex)</t>
        </is>
      </c>
      <c r="B6" s="7" t="n">
        <v>3000000</v>
      </c>
      <c r="C6" s="8" t="inlineStr">
        <is>
          <t>EUR</t>
        </is>
      </c>
      <c r="F6" s="6" t="inlineStr">
        <is>
          <t>Gain over build cost</t>
        </is>
      </c>
      <c r="G6" s="11">
        <f>SUM(C13:C52)-$B6</f>
        <v/>
      </c>
    </row>
    <row r="7">
      <c r="A7" s="6" t="inlineStr">
        <is>
          <t>Asset life</t>
        </is>
      </c>
      <c r="B7" s="12" t="n">
        <v>25</v>
      </c>
      <c r="C7" s="8" t="inlineStr">
        <is>
          <t>years</t>
        </is>
      </c>
      <c r="F7" s="6" t="inlineStr">
        <is>
          <t>Money multiple</t>
        </is>
      </c>
      <c r="G7" s="13">
        <f>IF($B6=0,0,SUM(C13:C52)/$B6)</f>
        <v/>
      </c>
    </row>
    <row r="8">
      <c r="A8" s="6" t="inlineStr">
        <is>
          <t>Your build hurdle rate</t>
        </is>
      </c>
      <c r="B8" s="14" t="n">
        <v>0.11</v>
      </c>
      <c r="F8" s="6" t="inlineStr">
        <is>
          <t>Value from yield compression</t>
        </is>
      </c>
      <c r="G8" s="11">
        <f>SUM(C13:C52)-SUM(D13:D52)</f>
        <v/>
      </c>
    </row>
    <row r="9">
      <c r="A9" s="6" t="inlineStr">
        <is>
          <t>Fund's required yield</t>
        </is>
      </c>
      <c r="B9" s="14" t="n">
        <v>0.07000000000000001</v>
      </c>
      <c r="F9" s="6" t="inlineStr">
        <is>
          <t>Yield gap</t>
        </is>
      </c>
      <c r="G9" s="15">
        <f>$B8-$B9</f>
        <v/>
      </c>
    </row>
    <row r="10">
      <c r="A10" s="6" t="inlineStr">
        <is>
          <t>Terminal / residual value</t>
        </is>
      </c>
      <c r="B10" s="7" t="n">
        <v>0</v>
      </c>
      <c r="C10" s="8" t="inlineStr">
        <is>
          <t>EUR</t>
        </is>
      </c>
      <c r="F10" s="6" t="inlineStr">
        <is>
          <t>Build IRR (if you hold)</t>
        </is>
      </c>
      <c r="G10" s="15">
        <f>IFERROR(IRR(E12:E52),"-")</f>
        <v/>
      </c>
    </row>
    <row r="12">
      <c r="A12" s="16" t="inlineStr">
        <is>
          <t>Year</t>
        </is>
      </c>
      <c r="B12" s="16" t="inlineStr">
        <is>
          <t>Cash flow</t>
        </is>
      </c>
      <c r="C12" s="16" t="inlineStr">
        <is>
          <t>PV @ exit</t>
        </is>
      </c>
      <c r="D12" s="16" t="inlineStr">
        <is>
          <t>PV @ build</t>
        </is>
      </c>
      <c r="E12">
        <f>-$B6</f>
        <v/>
      </c>
    </row>
    <row r="13">
      <c r="A13">
        <f>IF(1&lt;=$B7,1,"")</f>
        <v/>
      </c>
      <c r="B13" s="17">
        <f>IF(1&lt;$B7,$B5,IF(1=$B7,$B5+$B10,0))</f>
        <v/>
      </c>
      <c r="C13" s="17">
        <f>IF(1&lt;=$B7,B13/(1+$B9)^1,0)</f>
        <v/>
      </c>
      <c r="D13" s="17">
        <f>IF(1&lt;=$B7,B13/(1+$B8)^1,0)</f>
        <v/>
      </c>
      <c r="E13">
        <f>B13</f>
        <v/>
      </c>
    </row>
    <row r="14">
      <c r="A14">
        <f>IF(2&lt;=$B7,2,"")</f>
        <v/>
      </c>
      <c r="B14" s="17">
        <f>IF(2&lt;$B7,$B5,IF(2=$B7,$B5+$B10,0))</f>
        <v/>
      </c>
      <c r="C14" s="17">
        <f>IF(2&lt;=$B7,B14/(1+$B9)^2,0)</f>
        <v/>
      </c>
      <c r="D14" s="17">
        <f>IF(2&lt;=$B7,B14/(1+$B8)^2,0)</f>
        <v/>
      </c>
      <c r="E14">
        <f>B14</f>
        <v/>
      </c>
    </row>
    <row r="15">
      <c r="A15">
        <f>IF(3&lt;=$B7,3,"")</f>
        <v/>
      </c>
      <c r="B15" s="17">
        <f>IF(3&lt;$B7,$B5,IF(3=$B7,$B5+$B10,0))</f>
        <v/>
      </c>
      <c r="C15" s="17">
        <f>IF(3&lt;=$B7,B15/(1+$B9)^3,0)</f>
        <v/>
      </c>
      <c r="D15" s="17">
        <f>IF(3&lt;=$B7,B15/(1+$B8)^3,0)</f>
        <v/>
      </c>
      <c r="E15">
        <f>B15</f>
        <v/>
      </c>
    </row>
    <row r="16">
      <c r="A16">
        <f>IF(4&lt;=$B7,4,"")</f>
        <v/>
      </c>
      <c r="B16" s="17">
        <f>IF(4&lt;$B7,$B5,IF(4=$B7,$B5+$B10,0))</f>
        <v/>
      </c>
      <c r="C16" s="17">
        <f>IF(4&lt;=$B7,B16/(1+$B9)^4,0)</f>
        <v/>
      </c>
      <c r="D16" s="17">
        <f>IF(4&lt;=$B7,B16/(1+$B8)^4,0)</f>
        <v/>
      </c>
      <c r="E16">
        <f>B16</f>
        <v/>
      </c>
    </row>
    <row r="17">
      <c r="A17">
        <f>IF(5&lt;=$B7,5,"")</f>
        <v/>
      </c>
      <c r="B17" s="17">
        <f>IF(5&lt;$B7,$B5,IF(5=$B7,$B5+$B10,0))</f>
        <v/>
      </c>
      <c r="C17" s="17">
        <f>IF(5&lt;=$B7,B17/(1+$B9)^5,0)</f>
        <v/>
      </c>
      <c r="D17" s="17">
        <f>IF(5&lt;=$B7,B17/(1+$B8)^5,0)</f>
        <v/>
      </c>
      <c r="E17">
        <f>B17</f>
        <v/>
      </c>
    </row>
    <row r="18">
      <c r="A18">
        <f>IF(6&lt;=$B7,6,"")</f>
        <v/>
      </c>
      <c r="B18" s="17">
        <f>IF(6&lt;$B7,$B5,IF(6=$B7,$B5+$B10,0))</f>
        <v/>
      </c>
      <c r="C18" s="17">
        <f>IF(6&lt;=$B7,B18/(1+$B9)^6,0)</f>
        <v/>
      </c>
      <c r="D18" s="17">
        <f>IF(6&lt;=$B7,B18/(1+$B8)^6,0)</f>
        <v/>
      </c>
      <c r="E18">
        <f>B18</f>
        <v/>
      </c>
    </row>
    <row r="19">
      <c r="A19">
        <f>IF(7&lt;=$B7,7,"")</f>
        <v/>
      </c>
      <c r="B19" s="17">
        <f>IF(7&lt;$B7,$B5,IF(7=$B7,$B5+$B10,0))</f>
        <v/>
      </c>
      <c r="C19" s="17">
        <f>IF(7&lt;=$B7,B19/(1+$B9)^7,0)</f>
        <v/>
      </c>
      <c r="D19" s="17">
        <f>IF(7&lt;=$B7,B19/(1+$B8)^7,0)</f>
        <v/>
      </c>
      <c r="E19">
        <f>B19</f>
        <v/>
      </c>
    </row>
    <row r="20">
      <c r="A20">
        <f>IF(8&lt;=$B7,8,"")</f>
        <v/>
      </c>
      <c r="B20" s="17">
        <f>IF(8&lt;$B7,$B5,IF(8=$B7,$B5+$B10,0))</f>
        <v/>
      </c>
      <c r="C20" s="17">
        <f>IF(8&lt;=$B7,B20/(1+$B9)^8,0)</f>
        <v/>
      </c>
      <c r="D20" s="17">
        <f>IF(8&lt;=$B7,B20/(1+$B8)^8,0)</f>
        <v/>
      </c>
      <c r="E20">
        <f>B20</f>
        <v/>
      </c>
    </row>
    <row r="21">
      <c r="A21">
        <f>IF(9&lt;=$B7,9,"")</f>
        <v/>
      </c>
      <c r="B21" s="17">
        <f>IF(9&lt;$B7,$B5,IF(9=$B7,$B5+$B10,0))</f>
        <v/>
      </c>
      <c r="C21" s="17">
        <f>IF(9&lt;=$B7,B21/(1+$B9)^9,0)</f>
        <v/>
      </c>
      <c r="D21" s="17">
        <f>IF(9&lt;=$B7,B21/(1+$B8)^9,0)</f>
        <v/>
      </c>
      <c r="E21">
        <f>B21</f>
        <v/>
      </c>
    </row>
    <row r="22">
      <c r="A22">
        <f>IF(10&lt;=$B7,10,"")</f>
        <v/>
      </c>
      <c r="B22" s="17">
        <f>IF(10&lt;$B7,$B5,IF(10=$B7,$B5+$B10,0))</f>
        <v/>
      </c>
      <c r="C22" s="17">
        <f>IF(10&lt;=$B7,B22/(1+$B9)^10,0)</f>
        <v/>
      </c>
      <c r="D22" s="17">
        <f>IF(10&lt;=$B7,B22/(1+$B8)^10,0)</f>
        <v/>
      </c>
      <c r="E22">
        <f>B22</f>
        <v/>
      </c>
    </row>
    <row r="23">
      <c r="A23">
        <f>IF(11&lt;=$B7,11,"")</f>
        <v/>
      </c>
      <c r="B23" s="17">
        <f>IF(11&lt;$B7,$B5,IF(11=$B7,$B5+$B10,0))</f>
        <v/>
      </c>
      <c r="C23" s="17">
        <f>IF(11&lt;=$B7,B23/(1+$B9)^11,0)</f>
        <v/>
      </c>
      <c r="D23" s="17">
        <f>IF(11&lt;=$B7,B23/(1+$B8)^11,0)</f>
        <v/>
      </c>
      <c r="E23">
        <f>B23</f>
        <v/>
      </c>
    </row>
    <row r="24">
      <c r="A24">
        <f>IF(12&lt;=$B7,12,"")</f>
        <v/>
      </c>
      <c r="B24" s="17">
        <f>IF(12&lt;$B7,$B5,IF(12=$B7,$B5+$B10,0))</f>
        <v/>
      </c>
      <c r="C24" s="17">
        <f>IF(12&lt;=$B7,B24/(1+$B9)^12,0)</f>
        <v/>
      </c>
      <c r="D24" s="17">
        <f>IF(12&lt;=$B7,B24/(1+$B8)^12,0)</f>
        <v/>
      </c>
      <c r="E24">
        <f>B24</f>
        <v/>
      </c>
    </row>
    <row r="25">
      <c r="A25">
        <f>IF(13&lt;=$B7,13,"")</f>
        <v/>
      </c>
      <c r="B25" s="17">
        <f>IF(13&lt;$B7,$B5,IF(13=$B7,$B5+$B10,0))</f>
        <v/>
      </c>
      <c r="C25" s="17">
        <f>IF(13&lt;=$B7,B25/(1+$B9)^13,0)</f>
        <v/>
      </c>
      <c r="D25" s="17">
        <f>IF(13&lt;=$B7,B25/(1+$B8)^13,0)</f>
        <v/>
      </c>
      <c r="E25">
        <f>B25</f>
        <v/>
      </c>
    </row>
    <row r="26">
      <c r="A26">
        <f>IF(14&lt;=$B7,14,"")</f>
        <v/>
      </c>
      <c r="B26" s="17">
        <f>IF(14&lt;$B7,$B5,IF(14=$B7,$B5+$B10,0))</f>
        <v/>
      </c>
      <c r="C26" s="17">
        <f>IF(14&lt;=$B7,B26/(1+$B9)^14,0)</f>
        <v/>
      </c>
      <c r="D26" s="17">
        <f>IF(14&lt;=$B7,B26/(1+$B8)^14,0)</f>
        <v/>
      </c>
      <c r="E26">
        <f>B26</f>
        <v/>
      </c>
    </row>
    <row r="27">
      <c r="A27">
        <f>IF(15&lt;=$B7,15,"")</f>
        <v/>
      </c>
      <c r="B27" s="17">
        <f>IF(15&lt;$B7,$B5,IF(15=$B7,$B5+$B10,0))</f>
        <v/>
      </c>
      <c r="C27" s="17">
        <f>IF(15&lt;=$B7,B27/(1+$B9)^15,0)</f>
        <v/>
      </c>
      <c r="D27" s="17">
        <f>IF(15&lt;=$B7,B27/(1+$B8)^15,0)</f>
        <v/>
      </c>
      <c r="E27">
        <f>B27</f>
        <v/>
      </c>
    </row>
    <row r="28">
      <c r="A28">
        <f>IF(16&lt;=$B7,16,"")</f>
        <v/>
      </c>
      <c r="B28" s="17">
        <f>IF(16&lt;$B7,$B5,IF(16=$B7,$B5+$B10,0))</f>
        <v/>
      </c>
      <c r="C28" s="17">
        <f>IF(16&lt;=$B7,B28/(1+$B9)^16,0)</f>
        <v/>
      </c>
      <c r="D28" s="17">
        <f>IF(16&lt;=$B7,B28/(1+$B8)^16,0)</f>
        <v/>
      </c>
      <c r="E28">
        <f>B28</f>
        <v/>
      </c>
    </row>
    <row r="29">
      <c r="A29">
        <f>IF(17&lt;=$B7,17,"")</f>
        <v/>
      </c>
      <c r="B29" s="17">
        <f>IF(17&lt;$B7,$B5,IF(17=$B7,$B5+$B10,0))</f>
        <v/>
      </c>
      <c r="C29" s="17">
        <f>IF(17&lt;=$B7,B29/(1+$B9)^17,0)</f>
        <v/>
      </c>
      <c r="D29" s="17">
        <f>IF(17&lt;=$B7,B29/(1+$B8)^17,0)</f>
        <v/>
      </c>
      <c r="E29">
        <f>B29</f>
        <v/>
      </c>
    </row>
    <row r="30">
      <c r="A30">
        <f>IF(18&lt;=$B7,18,"")</f>
        <v/>
      </c>
      <c r="B30" s="17">
        <f>IF(18&lt;$B7,$B5,IF(18=$B7,$B5+$B10,0))</f>
        <v/>
      </c>
      <c r="C30" s="17">
        <f>IF(18&lt;=$B7,B30/(1+$B9)^18,0)</f>
        <v/>
      </c>
      <c r="D30" s="17">
        <f>IF(18&lt;=$B7,B30/(1+$B8)^18,0)</f>
        <v/>
      </c>
      <c r="E30">
        <f>B30</f>
        <v/>
      </c>
    </row>
    <row r="31">
      <c r="A31">
        <f>IF(19&lt;=$B7,19,"")</f>
        <v/>
      </c>
      <c r="B31" s="17">
        <f>IF(19&lt;$B7,$B5,IF(19=$B7,$B5+$B10,0))</f>
        <v/>
      </c>
      <c r="C31" s="17">
        <f>IF(19&lt;=$B7,B31/(1+$B9)^19,0)</f>
        <v/>
      </c>
      <c r="D31" s="17">
        <f>IF(19&lt;=$B7,B31/(1+$B8)^19,0)</f>
        <v/>
      </c>
      <c r="E31">
        <f>B31</f>
        <v/>
      </c>
    </row>
    <row r="32">
      <c r="A32">
        <f>IF(20&lt;=$B7,20,"")</f>
        <v/>
      </c>
      <c r="B32" s="17">
        <f>IF(20&lt;$B7,$B5,IF(20=$B7,$B5+$B10,0))</f>
        <v/>
      </c>
      <c r="C32" s="17">
        <f>IF(20&lt;=$B7,B32/(1+$B9)^20,0)</f>
        <v/>
      </c>
      <c r="D32" s="17">
        <f>IF(20&lt;=$B7,B32/(1+$B8)^20,0)</f>
        <v/>
      </c>
      <c r="E32">
        <f>B32</f>
        <v/>
      </c>
    </row>
    <row r="33">
      <c r="A33">
        <f>IF(21&lt;=$B7,21,"")</f>
        <v/>
      </c>
      <c r="B33" s="17">
        <f>IF(21&lt;$B7,$B5,IF(21=$B7,$B5+$B10,0))</f>
        <v/>
      </c>
      <c r="C33" s="17">
        <f>IF(21&lt;=$B7,B33/(1+$B9)^21,0)</f>
        <v/>
      </c>
      <c r="D33" s="17">
        <f>IF(21&lt;=$B7,B33/(1+$B8)^21,0)</f>
        <v/>
      </c>
      <c r="E33">
        <f>B33</f>
        <v/>
      </c>
    </row>
    <row r="34">
      <c r="A34">
        <f>IF(22&lt;=$B7,22,"")</f>
        <v/>
      </c>
      <c r="B34" s="17">
        <f>IF(22&lt;$B7,$B5,IF(22=$B7,$B5+$B10,0))</f>
        <v/>
      </c>
      <c r="C34" s="17">
        <f>IF(22&lt;=$B7,B34/(1+$B9)^22,0)</f>
        <v/>
      </c>
      <c r="D34" s="17">
        <f>IF(22&lt;=$B7,B34/(1+$B8)^22,0)</f>
        <v/>
      </c>
      <c r="E34">
        <f>B34</f>
        <v/>
      </c>
    </row>
    <row r="35">
      <c r="A35">
        <f>IF(23&lt;=$B7,23,"")</f>
        <v/>
      </c>
      <c r="B35" s="17">
        <f>IF(23&lt;$B7,$B5,IF(23=$B7,$B5+$B10,0))</f>
        <v/>
      </c>
      <c r="C35" s="17">
        <f>IF(23&lt;=$B7,B35/(1+$B9)^23,0)</f>
        <v/>
      </c>
      <c r="D35" s="17">
        <f>IF(23&lt;=$B7,B35/(1+$B8)^23,0)</f>
        <v/>
      </c>
      <c r="E35">
        <f>B35</f>
        <v/>
      </c>
    </row>
    <row r="36">
      <c r="A36">
        <f>IF(24&lt;=$B7,24,"")</f>
        <v/>
      </c>
      <c r="B36" s="17">
        <f>IF(24&lt;$B7,$B5,IF(24=$B7,$B5+$B10,0))</f>
        <v/>
      </c>
      <c r="C36" s="17">
        <f>IF(24&lt;=$B7,B36/(1+$B9)^24,0)</f>
        <v/>
      </c>
      <c r="D36" s="17">
        <f>IF(24&lt;=$B7,B36/(1+$B8)^24,0)</f>
        <v/>
      </c>
      <c r="E36">
        <f>B36</f>
        <v/>
      </c>
    </row>
    <row r="37">
      <c r="A37">
        <f>IF(25&lt;=$B7,25,"")</f>
        <v/>
      </c>
      <c r="B37" s="17">
        <f>IF(25&lt;$B7,$B5,IF(25=$B7,$B5+$B10,0))</f>
        <v/>
      </c>
      <c r="C37" s="17">
        <f>IF(25&lt;=$B7,B37/(1+$B9)^25,0)</f>
        <v/>
      </c>
      <c r="D37" s="17">
        <f>IF(25&lt;=$B7,B37/(1+$B8)^25,0)</f>
        <v/>
      </c>
      <c r="E37">
        <f>B37</f>
        <v/>
      </c>
    </row>
    <row r="38">
      <c r="A38">
        <f>IF(26&lt;=$B7,26,"")</f>
        <v/>
      </c>
      <c r="B38" s="17">
        <f>IF(26&lt;$B7,$B5,IF(26=$B7,$B5+$B10,0))</f>
        <v/>
      </c>
      <c r="C38" s="17">
        <f>IF(26&lt;=$B7,B38/(1+$B9)^26,0)</f>
        <v/>
      </c>
      <c r="D38" s="17">
        <f>IF(26&lt;=$B7,B38/(1+$B8)^26,0)</f>
        <v/>
      </c>
      <c r="E38">
        <f>B38</f>
        <v/>
      </c>
    </row>
    <row r="39">
      <c r="A39">
        <f>IF(27&lt;=$B7,27,"")</f>
        <v/>
      </c>
      <c r="B39" s="17">
        <f>IF(27&lt;$B7,$B5,IF(27=$B7,$B5+$B10,0))</f>
        <v/>
      </c>
      <c r="C39" s="17">
        <f>IF(27&lt;=$B7,B39/(1+$B9)^27,0)</f>
        <v/>
      </c>
      <c r="D39" s="17">
        <f>IF(27&lt;=$B7,B39/(1+$B8)^27,0)</f>
        <v/>
      </c>
      <c r="E39">
        <f>B39</f>
        <v/>
      </c>
    </row>
    <row r="40">
      <c r="A40">
        <f>IF(28&lt;=$B7,28,"")</f>
        <v/>
      </c>
      <c r="B40" s="17">
        <f>IF(28&lt;$B7,$B5,IF(28=$B7,$B5+$B10,0))</f>
        <v/>
      </c>
      <c r="C40" s="17">
        <f>IF(28&lt;=$B7,B40/(1+$B9)^28,0)</f>
        <v/>
      </c>
      <c r="D40" s="17">
        <f>IF(28&lt;=$B7,B40/(1+$B8)^28,0)</f>
        <v/>
      </c>
      <c r="E40">
        <f>B40</f>
        <v/>
      </c>
    </row>
    <row r="41">
      <c r="A41">
        <f>IF(29&lt;=$B7,29,"")</f>
        <v/>
      </c>
      <c r="B41" s="17">
        <f>IF(29&lt;$B7,$B5,IF(29=$B7,$B5+$B10,0))</f>
        <v/>
      </c>
      <c r="C41" s="17">
        <f>IF(29&lt;=$B7,B41/(1+$B9)^29,0)</f>
        <v/>
      </c>
      <c r="D41" s="17">
        <f>IF(29&lt;=$B7,B41/(1+$B8)^29,0)</f>
        <v/>
      </c>
      <c r="E41">
        <f>B41</f>
        <v/>
      </c>
    </row>
    <row r="42">
      <c r="A42">
        <f>IF(30&lt;=$B7,30,"")</f>
        <v/>
      </c>
      <c r="B42" s="17">
        <f>IF(30&lt;$B7,$B5,IF(30=$B7,$B5+$B10,0))</f>
        <v/>
      </c>
      <c r="C42" s="17">
        <f>IF(30&lt;=$B7,B42/(1+$B9)^30,0)</f>
        <v/>
      </c>
      <c r="D42" s="17">
        <f>IF(30&lt;=$B7,B42/(1+$B8)^30,0)</f>
        <v/>
      </c>
      <c r="E42">
        <f>B42</f>
        <v/>
      </c>
    </row>
    <row r="43">
      <c r="A43">
        <f>IF(31&lt;=$B7,31,"")</f>
        <v/>
      </c>
      <c r="B43" s="17">
        <f>IF(31&lt;$B7,$B5,IF(31=$B7,$B5+$B10,0))</f>
        <v/>
      </c>
      <c r="C43" s="17">
        <f>IF(31&lt;=$B7,B43/(1+$B9)^31,0)</f>
        <v/>
      </c>
      <c r="D43" s="17">
        <f>IF(31&lt;=$B7,B43/(1+$B8)^31,0)</f>
        <v/>
      </c>
      <c r="E43">
        <f>B43</f>
        <v/>
      </c>
    </row>
    <row r="44">
      <c r="A44">
        <f>IF(32&lt;=$B7,32,"")</f>
        <v/>
      </c>
      <c r="B44" s="17">
        <f>IF(32&lt;$B7,$B5,IF(32=$B7,$B5+$B10,0))</f>
        <v/>
      </c>
      <c r="C44" s="17">
        <f>IF(32&lt;=$B7,B44/(1+$B9)^32,0)</f>
        <v/>
      </c>
      <c r="D44" s="17">
        <f>IF(32&lt;=$B7,B44/(1+$B8)^32,0)</f>
        <v/>
      </c>
      <c r="E44">
        <f>B44</f>
        <v/>
      </c>
    </row>
    <row r="45">
      <c r="A45">
        <f>IF(33&lt;=$B7,33,"")</f>
        <v/>
      </c>
      <c r="B45" s="17">
        <f>IF(33&lt;$B7,$B5,IF(33=$B7,$B5+$B10,0))</f>
        <v/>
      </c>
      <c r="C45" s="17">
        <f>IF(33&lt;=$B7,B45/(1+$B9)^33,0)</f>
        <v/>
      </c>
      <c r="D45" s="17">
        <f>IF(33&lt;=$B7,B45/(1+$B8)^33,0)</f>
        <v/>
      </c>
      <c r="E45">
        <f>B45</f>
        <v/>
      </c>
    </row>
    <row r="46">
      <c r="A46">
        <f>IF(34&lt;=$B7,34,"")</f>
        <v/>
      </c>
      <c r="B46" s="17">
        <f>IF(34&lt;$B7,$B5,IF(34=$B7,$B5+$B10,0))</f>
        <v/>
      </c>
      <c r="C46" s="17">
        <f>IF(34&lt;=$B7,B46/(1+$B9)^34,0)</f>
        <v/>
      </c>
      <c r="D46" s="17">
        <f>IF(34&lt;=$B7,B46/(1+$B8)^34,0)</f>
        <v/>
      </c>
      <c r="E46">
        <f>B46</f>
        <v/>
      </c>
    </row>
    <row r="47">
      <c r="A47">
        <f>IF(35&lt;=$B7,35,"")</f>
        <v/>
      </c>
      <c r="B47" s="17">
        <f>IF(35&lt;$B7,$B5,IF(35=$B7,$B5+$B10,0))</f>
        <v/>
      </c>
      <c r="C47" s="17">
        <f>IF(35&lt;=$B7,B47/(1+$B9)^35,0)</f>
        <v/>
      </c>
      <c r="D47" s="17">
        <f>IF(35&lt;=$B7,B47/(1+$B8)^35,0)</f>
        <v/>
      </c>
      <c r="E47">
        <f>B47</f>
        <v/>
      </c>
    </row>
    <row r="48">
      <c r="A48">
        <f>IF(36&lt;=$B7,36,"")</f>
        <v/>
      </c>
      <c r="B48" s="17">
        <f>IF(36&lt;$B7,$B5,IF(36=$B7,$B5+$B10,0))</f>
        <v/>
      </c>
      <c r="C48" s="17">
        <f>IF(36&lt;=$B7,B48/(1+$B9)^36,0)</f>
        <v/>
      </c>
      <c r="D48" s="17">
        <f>IF(36&lt;=$B7,B48/(1+$B8)^36,0)</f>
        <v/>
      </c>
      <c r="E48">
        <f>B48</f>
        <v/>
      </c>
    </row>
    <row r="49">
      <c r="A49">
        <f>IF(37&lt;=$B7,37,"")</f>
        <v/>
      </c>
      <c r="B49" s="17">
        <f>IF(37&lt;$B7,$B5,IF(37=$B7,$B5+$B10,0))</f>
        <v/>
      </c>
      <c r="C49" s="17">
        <f>IF(37&lt;=$B7,B49/(1+$B9)^37,0)</f>
        <v/>
      </c>
      <c r="D49" s="17">
        <f>IF(37&lt;=$B7,B49/(1+$B8)^37,0)</f>
        <v/>
      </c>
      <c r="E49">
        <f>B49</f>
        <v/>
      </c>
    </row>
    <row r="50">
      <c r="A50">
        <f>IF(38&lt;=$B7,38,"")</f>
        <v/>
      </c>
      <c r="B50" s="17">
        <f>IF(38&lt;$B7,$B5,IF(38=$B7,$B5+$B10,0))</f>
        <v/>
      </c>
      <c r="C50" s="17">
        <f>IF(38&lt;=$B7,B50/(1+$B9)^38,0)</f>
        <v/>
      </c>
      <c r="D50" s="17">
        <f>IF(38&lt;=$B7,B50/(1+$B8)^38,0)</f>
        <v/>
      </c>
      <c r="E50">
        <f>B50</f>
        <v/>
      </c>
    </row>
    <row r="51">
      <c r="A51">
        <f>IF(39&lt;=$B7,39,"")</f>
        <v/>
      </c>
      <c r="B51" s="17">
        <f>IF(39&lt;$B7,$B5,IF(39=$B7,$B5+$B10,0))</f>
        <v/>
      </c>
      <c r="C51" s="17">
        <f>IF(39&lt;=$B7,B51/(1+$B9)^39,0)</f>
        <v/>
      </c>
      <c r="D51" s="17">
        <f>IF(39&lt;=$B7,B51/(1+$B8)^39,0)</f>
        <v/>
      </c>
      <c r="E51">
        <f>B51</f>
        <v/>
      </c>
    </row>
    <row r="52">
      <c r="A52">
        <f>IF(40&lt;=$B7,40,"")</f>
        <v/>
      </c>
      <c r="B52" s="17">
        <f>IF(40&lt;$B7,$B5,IF(40=$B7,$B5+$B10,0))</f>
        <v/>
      </c>
      <c r="C52" s="17">
        <f>IF(40&lt;=$B7,B52/(1+$B9)^40,0)</f>
        <v/>
      </c>
      <c r="D52" s="17">
        <f>IF(40&lt;=$B7,B52/(1+$B8)^40,0)</f>
        <v/>
      </c>
      <c r="E52">
        <f>B52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2026-06-29T11:03:36Z</dcterms:created>
  <dcterms:modified xmlns:dcterms="http://purl.org/dc/terms/" xmlns:xsi="http://www.w3.org/2001/XMLSchema-instance" xsi:type="dcterms:W3CDTF">2026-06-29T11:03:36Z</dcterms:modified>
</cp:coreProperties>
</file>