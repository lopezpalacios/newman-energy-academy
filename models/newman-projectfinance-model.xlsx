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"/>
    <numFmt numFmtId="165" formatCode="0.0%"/>
    <numFmt numFmtId="166" formatCode="0.00&quot;x&quot;"/>
    <numFmt numFmtId="167" formatCode="0.0&quot; yrs&quot;"/>
  </numFmts>
  <fonts count="11">
    <font>
      <name val="Calibri"/>
      <family val="2"/>
      <color theme="1"/>
      <sz val="11"/>
      <scheme val="minor"/>
    </font>
    <font>
      <name val="Calibri"/>
      <b val="1"/>
      <color rgb="00191B4D"/>
      <sz val="18"/>
    </font>
    <font>
      <color rgb="005F5870"/>
      <sz val="10"/>
    </font>
    <font>
      <b val="1"/>
      <color rgb="00FFFFFF"/>
      <sz val="11"/>
    </font>
    <font>
      <color rgb="00221A33"/>
      <sz val="11"/>
    </font>
    <font>
      <b val="1"/>
      <color rgb="00621558"/>
      <sz val="11"/>
    </font>
    <font>
      <i val="1"/>
      <color rgb="005F5870"/>
      <sz val="10"/>
    </font>
    <font>
      <color rgb="005F5870"/>
      <sz val="9"/>
    </font>
    <font>
      <b val="1"/>
      <color rgb="00191B4D"/>
      <sz val="11"/>
    </font>
    <font>
      <b val="1"/>
      <color rgb="00191B4D"/>
      <sz val="13"/>
    </font>
    <font>
      <i val="1"/>
      <color rgb="005F5870"/>
      <sz val="9"/>
    </font>
  </fonts>
  <fills count="5">
    <fill>
      <patternFill/>
    </fill>
    <fill>
      <patternFill patternType="gray125"/>
    </fill>
    <fill>
      <patternFill patternType="solid">
        <fgColor rgb="00621558"/>
      </patternFill>
    </fill>
    <fill>
      <patternFill patternType="solid">
        <fgColor rgb="00F1E9F4"/>
      </patternFill>
    </fill>
    <fill>
      <patternFill patternType="solid">
        <fgColor rgb="00ECE7F3"/>
      </patternFill>
    </fill>
  </fills>
  <borders count="2">
    <border>
      <left/>
      <right/>
      <top/>
      <bottom/>
      <diagonal/>
    </border>
    <border>
      <left style="thin">
        <color rgb="00E4DEF1"/>
      </left>
      <right style="thin">
        <color rgb="00E4DEF1"/>
      </right>
      <top style="thin">
        <color rgb="00E4DEF1"/>
      </top>
      <bottom style="thin">
        <color rgb="00E4DEF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5" fillId="3" borderId="1" applyAlignment="1" pivotButton="0" quotePrefix="0" xfId="0">
      <alignment horizontal="right"/>
    </xf>
    <xf numFmtId="0" fontId="6" fillId="0" borderId="0" pivotButton="0" quotePrefix="0" xfId="0"/>
    <xf numFmtId="0" fontId="8" fillId="0" borderId="0" pivotButton="0" quotePrefix="0" xfId="0"/>
    <xf numFmtId="165" fontId="9" fillId="4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0" borderId="1" applyAlignment="1" pivotButton="0" quotePrefix="0" xfId="0">
      <alignment horizontal="right"/>
    </xf>
    <xf numFmtId="164" fontId="5" fillId="0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167" fontId="5" fillId="0" borderId="1" applyAlignment="1" pivotButton="0" quotePrefix="0" xfId="0">
      <alignment horizontal="right"/>
    </xf>
    <xf numFmtId="0" fontId="7" fillId="0" borderId="0" pivotButton="0" quotePrefix="0" xfId="0"/>
    <xf numFmtId="0" fontId="1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Developer Project Finance</t>
        </is>
      </c>
    </row>
    <row r="2">
      <c r="A2" s="2" t="inlineStr">
        <is>
          <t>Gearing, DSCR &amp; levered equity IRR  ·  Newman Energy Academy</t>
        </is>
      </c>
    </row>
    <row r="4">
      <c r="A4" s="3" t="inlineStr">
        <is>
          <t>Inputs</t>
        </is>
      </c>
      <c r="B4" s="4" t="n"/>
      <c r="C4" s="4" t="n"/>
      <c r="E4" s="5" t="inlineStr">
        <is>
          <t>Results</t>
        </is>
      </c>
      <c r="F4" s="4" t="n"/>
      <c r="G4" s="4" t="n"/>
    </row>
    <row r="5">
      <c r="A5" s="6" t="inlineStr">
        <is>
          <t>Capex</t>
        </is>
      </c>
      <c r="B5" s="7" t="n">
        <v>3000000</v>
      </c>
      <c r="C5" s="8" t="inlineStr">
        <is>
          <t>EUR</t>
        </is>
      </c>
      <c r="E5" s="9" t="inlineStr">
        <is>
          <t>Equity IRR (levered)</t>
        </is>
      </c>
      <c r="F5" s="10">
        <f>IFERROR(IRR(J12:J47),0)</f>
        <v/>
      </c>
    </row>
    <row r="6">
      <c r="A6" s="6" t="inlineStr">
        <is>
          <t>Annual net cash flow (CFADS)</t>
        </is>
      </c>
      <c r="B6" s="7" t="n">
        <v>350000</v>
      </c>
      <c r="C6" s="8" t="inlineStr">
        <is>
          <t>EUR / yr</t>
        </is>
      </c>
      <c r="E6" s="6" t="inlineStr">
        <is>
          <t>Project IRR (unlevered)</t>
        </is>
      </c>
      <c r="F6" s="11">
        <f>IFERROR(IRR(I12:I47),0)</f>
        <v/>
      </c>
    </row>
    <row r="7">
      <c r="A7" s="6" t="inlineStr">
        <is>
          <t>Debt share (gearing)</t>
        </is>
      </c>
      <c r="B7" s="12" t="n">
        <v>0.7</v>
      </c>
      <c r="E7" s="6" t="inlineStr">
        <is>
          <t>DSCR (year 1)</t>
        </is>
      </c>
      <c r="F7" s="13">
        <f>$B$6/$F$9</f>
        <v/>
      </c>
    </row>
    <row r="8">
      <c r="A8" s="6" t="inlineStr">
        <is>
          <t>Loan interest rate</t>
        </is>
      </c>
      <c r="B8" s="12" t="n">
        <v>0.05</v>
      </c>
      <c r="E8" s="6" t="inlineStr">
        <is>
          <t>Equity required</t>
        </is>
      </c>
      <c r="F8" s="14">
        <f>$B$5*(1-$B$7)</f>
        <v/>
      </c>
    </row>
    <row r="9">
      <c r="A9" s="6" t="inlineStr">
        <is>
          <t>Loan tenor</t>
        </is>
      </c>
      <c r="B9" s="15" t="n">
        <v>15</v>
      </c>
      <c r="C9" s="8" t="inlineStr">
        <is>
          <t>years</t>
        </is>
      </c>
      <c r="E9" s="6" t="inlineStr">
        <is>
          <t>Annual debt service</t>
        </is>
      </c>
      <c r="F9" s="14">
        <f>$B$5*$B$7*$B$8/(1-(1+$B$8)^-$B$9)</f>
        <v/>
      </c>
    </row>
    <row r="10">
      <c r="A10" s="6" t="inlineStr">
        <is>
          <t>Asset life</t>
        </is>
      </c>
      <c r="B10" s="15" t="n">
        <v>25</v>
      </c>
      <c r="C10" s="8" t="inlineStr">
        <is>
          <t>years</t>
        </is>
      </c>
      <c r="E10" s="6" t="inlineStr">
        <is>
          <t>Equity payback (approx)</t>
        </is>
      </c>
      <c r="F10" s="16">
        <f>IF(($B$6-$F$9)&gt;0,$F$8/($B$6-$F$9),"-")</f>
        <v/>
      </c>
    </row>
    <row r="11">
      <c r="H11" s="17" t="inlineStr">
        <is>
          <t>yr</t>
        </is>
      </c>
      <c r="I11" s="17" t="inlineStr">
        <is>
          <t>proj CF</t>
        </is>
      </c>
      <c r="J11" s="17" t="inlineStr">
        <is>
          <t>equity CF</t>
        </is>
      </c>
    </row>
    <row r="12">
      <c r="E12" s="18" t="inlineStr">
        <is>
          <t>Inputs are blue; results recalc. Debt sized at level annual service.</t>
        </is>
      </c>
      <c r="H12" t="n">
        <v>0</v>
      </c>
      <c r="I12" s="19">
        <f>-$B$5</f>
        <v/>
      </c>
      <c r="J12" s="19">
        <f>-$F$8</f>
        <v/>
      </c>
    </row>
    <row r="13">
      <c r="H13" t="n">
        <v>1</v>
      </c>
      <c r="I13" s="19">
        <f>IF(1&lt;=$B$10,$B$6,0)</f>
        <v/>
      </c>
      <c r="J13" s="19">
        <f>IF(1&lt;=$B$10,IF(1&lt;=$B$9,$B$6-$F$9,$B$6),0)</f>
        <v/>
      </c>
    </row>
    <row r="14">
      <c r="H14" t="n">
        <v>2</v>
      </c>
      <c r="I14" s="19">
        <f>IF(2&lt;=$B$10,$B$6,0)</f>
        <v/>
      </c>
      <c r="J14" s="19">
        <f>IF(2&lt;=$B$10,IF(2&lt;=$B$9,$B$6-$F$9,$B$6),0)</f>
        <v/>
      </c>
    </row>
    <row r="15">
      <c r="H15" t="n">
        <v>3</v>
      </c>
      <c r="I15" s="19">
        <f>IF(3&lt;=$B$10,$B$6,0)</f>
        <v/>
      </c>
      <c r="J15" s="19">
        <f>IF(3&lt;=$B$10,IF(3&lt;=$B$9,$B$6-$F$9,$B$6),0)</f>
        <v/>
      </c>
    </row>
    <row r="16">
      <c r="H16" t="n">
        <v>4</v>
      </c>
      <c r="I16" s="19">
        <f>IF(4&lt;=$B$10,$B$6,0)</f>
        <v/>
      </c>
      <c r="J16" s="19">
        <f>IF(4&lt;=$B$10,IF(4&lt;=$B$9,$B$6-$F$9,$B$6),0)</f>
        <v/>
      </c>
    </row>
    <row r="17">
      <c r="H17" t="n">
        <v>5</v>
      </c>
      <c r="I17" s="19">
        <f>IF(5&lt;=$B$10,$B$6,0)</f>
        <v/>
      </c>
      <c r="J17" s="19">
        <f>IF(5&lt;=$B$10,IF(5&lt;=$B$9,$B$6-$F$9,$B$6),0)</f>
        <v/>
      </c>
    </row>
    <row r="18">
      <c r="H18" t="n">
        <v>6</v>
      </c>
      <c r="I18" s="19">
        <f>IF(6&lt;=$B$10,$B$6,0)</f>
        <v/>
      </c>
      <c r="J18" s="19">
        <f>IF(6&lt;=$B$10,IF(6&lt;=$B$9,$B$6-$F$9,$B$6),0)</f>
        <v/>
      </c>
    </row>
    <row r="19">
      <c r="H19" t="n">
        <v>7</v>
      </c>
      <c r="I19" s="19">
        <f>IF(7&lt;=$B$10,$B$6,0)</f>
        <v/>
      </c>
      <c r="J19" s="19">
        <f>IF(7&lt;=$B$10,IF(7&lt;=$B$9,$B$6-$F$9,$B$6),0)</f>
        <v/>
      </c>
    </row>
    <row r="20">
      <c r="H20" t="n">
        <v>8</v>
      </c>
      <c r="I20" s="19">
        <f>IF(8&lt;=$B$10,$B$6,0)</f>
        <v/>
      </c>
      <c r="J20" s="19">
        <f>IF(8&lt;=$B$10,IF(8&lt;=$B$9,$B$6-$F$9,$B$6),0)</f>
        <v/>
      </c>
    </row>
    <row r="21">
      <c r="H21" t="n">
        <v>9</v>
      </c>
      <c r="I21" s="19">
        <f>IF(9&lt;=$B$10,$B$6,0)</f>
        <v/>
      </c>
      <c r="J21" s="19">
        <f>IF(9&lt;=$B$10,IF(9&lt;=$B$9,$B$6-$F$9,$B$6),0)</f>
        <v/>
      </c>
    </row>
    <row r="22">
      <c r="H22" t="n">
        <v>10</v>
      </c>
      <c r="I22" s="19">
        <f>IF(10&lt;=$B$10,$B$6,0)</f>
        <v/>
      </c>
      <c r="J22" s="19">
        <f>IF(10&lt;=$B$10,IF(10&lt;=$B$9,$B$6-$F$9,$B$6),0)</f>
        <v/>
      </c>
    </row>
    <row r="23">
      <c r="H23" t="n">
        <v>11</v>
      </c>
      <c r="I23" s="19">
        <f>IF(11&lt;=$B$10,$B$6,0)</f>
        <v/>
      </c>
      <c r="J23" s="19">
        <f>IF(11&lt;=$B$10,IF(11&lt;=$B$9,$B$6-$F$9,$B$6),0)</f>
        <v/>
      </c>
    </row>
    <row r="24">
      <c r="H24" t="n">
        <v>12</v>
      </c>
      <c r="I24" s="19">
        <f>IF(12&lt;=$B$10,$B$6,0)</f>
        <v/>
      </c>
      <c r="J24" s="19">
        <f>IF(12&lt;=$B$10,IF(12&lt;=$B$9,$B$6-$F$9,$B$6),0)</f>
        <v/>
      </c>
    </row>
    <row r="25">
      <c r="H25" t="n">
        <v>13</v>
      </c>
      <c r="I25" s="19">
        <f>IF(13&lt;=$B$10,$B$6,0)</f>
        <v/>
      </c>
      <c r="J25" s="19">
        <f>IF(13&lt;=$B$10,IF(13&lt;=$B$9,$B$6-$F$9,$B$6),0)</f>
        <v/>
      </c>
    </row>
    <row r="26">
      <c r="H26" t="n">
        <v>14</v>
      </c>
      <c r="I26" s="19">
        <f>IF(14&lt;=$B$10,$B$6,0)</f>
        <v/>
      </c>
      <c r="J26" s="19">
        <f>IF(14&lt;=$B$10,IF(14&lt;=$B$9,$B$6-$F$9,$B$6),0)</f>
        <v/>
      </c>
    </row>
    <row r="27">
      <c r="H27" t="n">
        <v>15</v>
      </c>
      <c r="I27" s="19">
        <f>IF(15&lt;=$B$10,$B$6,0)</f>
        <v/>
      </c>
      <c r="J27" s="19">
        <f>IF(15&lt;=$B$10,IF(15&lt;=$B$9,$B$6-$F$9,$B$6),0)</f>
        <v/>
      </c>
    </row>
    <row r="28">
      <c r="H28" t="n">
        <v>16</v>
      </c>
      <c r="I28" s="19">
        <f>IF(16&lt;=$B$10,$B$6,0)</f>
        <v/>
      </c>
      <c r="J28" s="19">
        <f>IF(16&lt;=$B$10,IF(16&lt;=$B$9,$B$6-$F$9,$B$6),0)</f>
        <v/>
      </c>
    </row>
    <row r="29">
      <c r="H29" t="n">
        <v>17</v>
      </c>
      <c r="I29" s="19">
        <f>IF(17&lt;=$B$10,$B$6,0)</f>
        <v/>
      </c>
      <c r="J29" s="19">
        <f>IF(17&lt;=$B$10,IF(17&lt;=$B$9,$B$6-$F$9,$B$6),0)</f>
        <v/>
      </c>
    </row>
    <row r="30">
      <c r="H30" t="n">
        <v>18</v>
      </c>
      <c r="I30" s="19">
        <f>IF(18&lt;=$B$10,$B$6,0)</f>
        <v/>
      </c>
      <c r="J30" s="19">
        <f>IF(18&lt;=$B$10,IF(18&lt;=$B$9,$B$6-$F$9,$B$6),0)</f>
        <v/>
      </c>
    </row>
    <row r="31">
      <c r="H31" t="n">
        <v>19</v>
      </c>
      <c r="I31" s="19">
        <f>IF(19&lt;=$B$10,$B$6,0)</f>
        <v/>
      </c>
      <c r="J31" s="19">
        <f>IF(19&lt;=$B$10,IF(19&lt;=$B$9,$B$6-$F$9,$B$6),0)</f>
        <v/>
      </c>
    </row>
    <row r="32">
      <c r="H32" t="n">
        <v>20</v>
      </c>
      <c r="I32" s="19">
        <f>IF(20&lt;=$B$10,$B$6,0)</f>
        <v/>
      </c>
      <c r="J32" s="19">
        <f>IF(20&lt;=$B$10,IF(20&lt;=$B$9,$B$6-$F$9,$B$6),0)</f>
        <v/>
      </c>
    </row>
    <row r="33">
      <c r="H33" t="n">
        <v>21</v>
      </c>
      <c r="I33" s="19">
        <f>IF(21&lt;=$B$10,$B$6,0)</f>
        <v/>
      </c>
      <c r="J33" s="19">
        <f>IF(21&lt;=$B$10,IF(21&lt;=$B$9,$B$6-$F$9,$B$6),0)</f>
        <v/>
      </c>
    </row>
    <row r="34">
      <c r="H34" t="n">
        <v>22</v>
      </c>
      <c r="I34" s="19">
        <f>IF(22&lt;=$B$10,$B$6,0)</f>
        <v/>
      </c>
      <c r="J34" s="19">
        <f>IF(22&lt;=$B$10,IF(22&lt;=$B$9,$B$6-$F$9,$B$6),0)</f>
        <v/>
      </c>
    </row>
    <row r="35">
      <c r="H35" t="n">
        <v>23</v>
      </c>
      <c r="I35" s="19">
        <f>IF(23&lt;=$B$10,$B$6,0)</f>
        <v/>
      </c>
      <c r="J35" s="19">
        <f>IF(23&lt;=$B$10,IF(23&lt;=$B$9,$B$6-$F$9,$B$6),0)</f>
        <v/>
      </c>
    </row>
    <row r="36">
      <c r="H36" t="n">
        <v>24</v>
      </c>
      <c r="I36" s="19">
        <f>IF(24&lt;=$B$10,$B$6,0)</f>
        <v/>
      </c>
      <c r="J36" s="19">
        <f>IF(24&lt;=$B$10,IF(24&lt;=$B$9,$B$6-$F$9,$B$6),0)</f>
        <v/>
      </c>
    </row>
    <row r="37">
      <c r="H37" t="n">
        <v>25</v>
      </c>
      <c r="I37" s="19">
        <f>IF(25&lt;=$B$10,$B$6,0)</f>
        <v/>
      </c>
      <c r="J37" s="19">
        <f>IF(25&lt;=$B$10,IF(25&lt;=$B$9,$B$6-$F$9,$B$6),0)</f>
        <v/>
      </c>
    </row>
    <row r="38">
      <c r="H38" t="n">
        <v>26</v>
      </c>
      <c r="I38" s="19">
        <f>IF(26&lt;=$B$10,$B$6,0)</f>
        <v/>
      </c>
      <c r="J38" s="19">
        <f>IF(26&lt;=$B$10,IF(26&lt;=$B$9,$B$6-$F$9,$B$6),0)</f>
        <v/>
      </c>
    </row>
    <row r="39">
      <c r="H39" t="n">
        <v>27</v>
      </c>
      <c r="I39" s="19">
        <f>IF(27&lt;=$B$10,$B$6,0)</f>
        <v/>
      </c>
      <c r="J39" s="19">
        <f>IF(27&lt;=$B$10,IF(27&lt;=$B$9,$B$6-$F$9,$B$6),0)</f>
        <v/>
      </c>
    </row>
    <row r="40">
      <c r="H40" t="n">
        <v>28</v>
      </c>
      <c r="I40" s="19">
        <f>IF(28&lt;=$B$10,$B$6,0)</f>
        <v/>
      </c>
      <c r="J40" s="19">
        <f>IF(28&lt;=$B$10,IF(28&lt;=$B$9,$B$6-$F$9,$B$6),0)</f>
        <v/>
      </c>
    </row>
    <row r="41">
      <c r="H41" t="n">
        <v>29</v>
      </c>
      <c r="I41" s="19">
        <f>IF(29&lt;=$B$10,$B$6,0)</f>
        <v/>
      </c>
      <c r="J41" s="19">
        <f>IF(29&lt;=$B$10,IF(29&lt;=$B$9,$B$6-$F$9,$B$6),0)</f>
        <v/>
      </c>
    </row>
    <row r="42">
      <c r="H42" t="n">
        <v>30</v>
      </c>
      <c r="I42" s="19">
        <f>IF(30&lt;=$B$10,$B$6,0)</f>
        <v/>
      </c>
      <c r="J42" s="19">
        <f>IF(30&lt;=$B$10,IF(30&lt;=$B$9,$B$6-$F$9,$B$6),0)</f>
        <v/>
      </c>
    </row>
    <row r="43">
      <c r="H43" t="n">
        <v>31</v>
      </c>
      <c r="I43" s="19">
        <f>IF(31&lt;=$B$10,$B$6,0)</f>
        <v/>
      </c>
      <c r="J43" s="19">
        <f>IF(31&lt;=$B$10,IF(31&lt;=$B$9,$B$6-$F$9,$B$6),0)</f>
        <v/>
      </c>
    </row>
    <row r="44">
      <c r="H44" t="n">
        <v>32</v>
      </c>
      <c r="I44" s="19">
        <f>IF(32&lt;=$B$10,$B$6,0)</f>
        <v/>
      </c>
      <c r="J44" s="19">
        <f>IF(32&lt;=$B$10,IF(32&lt;=$B$9,$B$6-$F$9,$B$6),0)</f>
        <v/>
      </c>
    </row>
    <row r="45">
      <c r="H45" t="n">
        <v>33</v>
      </c>
      <c r="I45" s="19">
        <f>IF(33&lt;=$B$10,$B$6,0)</f>
        <v/>
      </c>
      <c r="J45" s="19">
        <f>IF(33&lt;=$B$10,IF(33&lt;=$B$9,$B$6-$F$9,$B$6),0)</f>
        <v/>
      </c>
    </row>
    <row r="46">
      <c r="H46" t="n">
        <v>34</v>
      </c>
      <c r="I46" s="19">
        <f>IF(34&lt;=$B$10,$B$6,0)</f>
        <v/>
      </c>
      <c r="J46" s="19">
        <f>IF(34&lt;=$B$10,IF(34&lt;=$B$9,$B$6-$F$9,$B$6),0)</f>
        <v/>
      </c>
    </row>
    <row r="47">
      <c r="H47" t="n">
        <v>35</v>
      </c>
      <c r="I47" s="19">
        <f>IF(35&lt;=$B$10,$B$6,0)</f>
        <v/>
      </c>
      <c r="J47" s="19">
        <f>IF(35&lt;=$B$10,IF(35&lt;=$B$9,$B$6-$F$9,$B$6),0)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2026-06-29T11:03:36Z</dcterms:created>
  <dcterms:modified xmlns:dcterms="http://purl.org/dc/terms/" xmlns:xsi="http://www.w3.org/2001/XMLSchema-instance" xsi:type="dcterms:W3CDTF">2026-06-29T11:03:36Z</dcterms:modified>
</cp:coreProperties>
</file>