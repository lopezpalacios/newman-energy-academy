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€#,##0"/>
    <numFmt numFmtId="166" formatCode="0.0%"/>
    <numFmt numFmtId="167" formatCode="0.0&quot; yrs&quot;"/>
  </numFmts>
  <fonts count="9">
    <font>
      <name val="Calibri"/>
      <family val="2"/>
      <color theme="1"/>
      <sz val="11"/>
      <scheme val="minor"/>
    </font>
    <font>
      <name val="Calibri"/>
      <b val="1"/>
      <color rgb="00191B4D"/>
      <sz val="18"/>
    </font>
    <font>
      <color rgb="005F5870"/>
      <sz val="10"/>
    </font>
    <font>
      <b val="1"/>
      <color rgb="00FFFFFF"/>
      <sz val="11"/>
    </font>
    <font>
      <color rgb="00221A33"/>
      <sz val="11"/>
    </font>
    <font>
      <b val="1"/>
      <color rgb="00621558"/>
      <sz val="11"/>
    </font>
    <font>
      <i val="1"/>
      <color rgb="005F5870"/>
      <sz val="10"/>
    </font>
    <font>
      <b val="1"/>
      <color rgb="00191B4D"/>
      <sz val="11"/>
    </font>
    <font>
      <b val="1"/>
      <color rgb="00191B4D"/>
      <sz val="13"/>
    </font>
  </fonts>
  <fills count="5">
    <fill>
      <patternFill/>
    </fill>
    <fill>
      <patternFill patternType="gray125"/>
    </fill>
    <fill>
      <patternFill patternType="solid">
        <fgColor rgb="00621558"/>
      </patternFill>
    </fill>
    <fill>
      <patternFill patternType="solid">
        <fgColor rgb="00F1E9F4"/>
      </patternFill>
    </fill>
    <fill>
      <patternFill patternType="solid">
        <fgColor rgb="00ECE7F3"/>
      </patternFill>
    </fill>
  </fills>
  <borders count="2">
    <border>
      <left/>
      <right/>
      <top/>
      <bottom/>
      <diagonal/>
    </border>
    <border>
      <left style="thin">
        <color rgb="00E4DEF1"/>
      </left>
      <right style="thin">
        <color rgb="00E4DEF1"/>
      </right>
      <top style="thin">
        <color rgb="00E4DEF1"/>
      </top>
      <bottom style="thin">
        <color rgb="00E4DEF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applyAlignment="1" pivotButton="0" quotePrefix="0" xfId="0">
      <alignment horizontal="right"/>
    </xf>
    <xf numFmtId="0" fontId="6" fillId="0" borderId="0" pivotButton="0" quotePrefix="0" xfId="0"/>
    <xf numFmtId="0" fontId="7" fillId="0" borderId="0" pivotButton="0" quotePrefix="0" xfId="0"/>
    <xf numFmtId="165" fontId="8" fillId="4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7" fontId="5" fillId="0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BESS Revenue Stack</t>
        </is>
      </c>
    </row>
    <row r="2">
      <c r="A2" s="2" t="inlineStr">
        <is>
          <t>Stacked annual revenue of a grid battery  ·  Newman Energy Academy</t>
        </is>
      </c>
    </row>
    <row r="4">
      <c r="A4" s="3" t="inlineStr">
        <is>
          <t>Inputs</t>
        </is>
      </c>
      <c r="B4" s="4" t="n"/>
      <c r="C4" s="4" t="n"/>
      <c r="E4" s="5" t="inlineStr">
        <is>
          <t>Results</t>
        </is>
      </c>
      <c r="F4" s="4" t="n"/>
      <c r="G4" s="4" t="n"/>
    </row>
    <row r="5">
      <c r="A5" s="6" t="inlineStr">
        <is>
          <t>Power</t>
        </is>
      </c>
      <c r="B5" s="7" t="n">
        <v>5</v>
      </c>
      <c r="C5" s="8" t="inlineStr">
        <is>
          <t>MW</t>
        </is>
      </c>
      <c r="E5" s="9" t="inlineStr">
        <is>
          <t>Total revenue / year</t>
        </is>
      </c>
      <c r="F5" s="10">
        <f>($B5*$B6)*$B7*$B8*$B12+$B5*$B9+$B5*$B10</f>
        <v/>
      </c>
    </row>
    <row r="6">
      <c r="A6" s="6" t="inlineStr">
        <is>
          <t>Duration</t>
        </is>
      </c>
      <c r="B6" s="7" t="n">
        <v>2</v>
      </c>
      <c r="C6" s="8" t="inlineStr">
        <is>
          <t>hours</t>
        </is>
      </c>
      <c r="E6" s="6" t="inlineStr">
        <is>
          <t>Arbitrage</t>
        </is>
      </c>
      <c r="F6" s="11">
        <f>($B5*$B6)*$B7*$B8*$B12</f>
        <v/>
      </c>
    </row>
    <row r="7">
      <c r="A7" s="6" t="inlineStr">
        <is>
          <t>Cycles / year</t>
        </is>
      </c>
      <c r="B7" s="12" t="n">
        <v>365</v>
      </c>
      <c r="E7" s="6" t="inlineStr">
        <is>
          <t>Capacity</t>
        </is>
      </c>
      <c r="F7" s="11">
        <f>$B5*$B9</f>
        <v/>
      </c>
    </row>
    <row r="8">
      <c r="A8" s="6" t="inlineStr">
        <is>
          <t>Arbitrage spread</t>
        </is>
      </c>
      <c r="B8" s="13" t="n">
        <v>60</v>
      </c>
      <c r="C8" s="8" t="inlineStr">
        <is>
          <t>EUR / MWh</t>
        </is>
      </c>
      <c r="E8" s="6" t="inlineStr">
        <is>
          <t>Ancillary</t>
        </is>
      </c>
      <c r="F8" s="11">
        <f>$B5*$B10</f>
        <v/>
      </c>
    </row>
    <row r="9">
      <c r="A9" s="6" t="inlineStr">
        <is>
          <t>Capacity payment</t>
        </is>
      </c>
      <c r="B9" s="13" t="n">
        <v>30000</v>
      </c>
      <c r="C9" s="8" t="inlineStr">
        <is>
          <t>EUR / MW / yr</t>
        </is>
      </c>
      <c r="E9" s="6" t="inlineStr">
        <is>
          <t>Usable energy</t>
        </is>
      </c>
      <c r="F9" s="14">
        <f>($B5*$B6)</f>
        <v/>
      </c>
      <c r="G9" s="8" t="inlineStr">
        <is>
          <t>MWh</t>
        </is>
      </c>
    </row>
    <row r="10">
      <c r="A10" s="6" t="inlineStr">
        <is>
          <t>Ancillary (FCR)</t>
        </is>
      </c>
      <c r="B10" s="13" t="n">
        <v>15000</v>
      </c>
      <c r="C10" s="8" t="inlineStr">
        <is>
          <t>EUR / MW / yr</t>
        </is>
      </c>
      <c r="E10" s="6" t="inlineStr">
        <is>
          <t>Capex (total)</t>
        </is>
      </c>
      <c r="F10" s="11">
        <f>($B5*$B6)*1000*$B11</f>
        <v/>
      </c>
    </row>
    <row r="11">
      <c r="A11" s="6" t="inlineStr">
        <is>
          <t>Capex</t>
        </is>
      </c>
      <c r="B11" s="13" t="n">
        <v>350</v>
      </c>
      <c r="C11" s="8" t="inlineStr">
        <is>
          <t>EUR / kWh</t>
        </is>
      </c>
      <c r="E11" s="6" t="inlineStr">
        <is>
          <t>Simple payback</t>
        </is>
      </c>
      <c r="F11" s="15">
        <f>IFERROR(F10/F5,"-")</f>
        <v/>
      </c>
    </row>
    <row r="12">
      <c r="A12" s="6" t="inlineStr">
        <is>
          <t>Round-trip efficiency</t>
        </is>
      </c>
      <c r="B12" s="16" t="n">
        <v>0.86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2026-06-27T10:07:46Z</dcterms:created>
  <dcterms:modified xmlns:dcterms="http://purl.org/dc/terms/" xmlns:xsi="http://www.w3.org/2001/XMLSchema-instance" xsi:type="dcterms:W3CDTF">2026-06-27T10:07:46Z</dcterms:modified>
</cp:coreProperties>
</file>